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.schlesinger\Documents\GitHub\fin-mtkg-data-v2\resources\"/>
    </mc:Choice>
  </mc:AlternateContent>
  <xr:revisionPtr revIDLastSave="0" documentId="13_ncr:1_{C9A32AF1-AB98-42F1-B845-44FDBF1AB24F}" xr6:coauthVersionLast="47" xr6:coauthVersionMax="47" xr10:uidLastSave="{00000000-0000-0000-0000-000000000000}"/>
  <bookViews>
    <workbookView xWindow="-165" yWindow="-165" windowWidth="38730" windowHeight="21210" activeTab="2" xr2:uid="{2334A0E9-8245-42B0-9552-867C20907550}"/>
  </bookViews>
  <sheets>
    <sheet name="Sheet1" sheetId="1" r:id="rId1"/>
    <sheet name="User Inputs" sheetId="2" r:id="rId2"/>
    <sheet name="OneStream Pulls" sheetId="4" r:id="rId3"/>
    <sheet name="Formatte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271" i="4" l="1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5" i="4"/>
  <c r="N296" i="4"/>
  <c r="N297" i="4"/>
  <c r="N298" i="4"/>
  <c r="N299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U271" i="4"/>
  <c r="U275" i="4"/>
  <c r="U279" i="4"/>
  <c r="U283" i="4"/>
  <c r="U287" i="4"/>
  <c r="U291" i="4"/>
  <c r="U295" i="4"/>
  <c r="U299" i="4"/>
  <c r="U272" i="4"/>
  <c r="U276" i="4"/>
  <c r="U280" i="4"/>
  <c r="U284" i="4"/>
  <c r="U288" i="4"/>
  <c r="U292" i="4"/>
  <c r="U296" i="4"/>
  <c r="U273" i="4"/>
  <c r="U277" i="4"/>
  <c r="U281" i="4"/>
  <c r="U285" i="4"/>
  <c r="U289" i="4"/>
  <c r="U293" i="4"/>
  <c r="U297" i="4"/>
  <c r="U274" i="4"/>
  <c r="U278" i="4"/>
  <c r="U282" i="4"/>
  <c r="U286" i="4"/>
  <c r="U290" i="4"/>
  <c r="U294" i="4"/>
  <c r="U298" i="4"/>
  <c r="H240" i="6" l="1"/>
  <c r="N263" i="4"/>
  <c r="N264" i="4"/>
  <c r="N265" i="4"/>
  <c r="N266" i="4"/>
  <c r="N267" i="4"/>
  <c r="N268" i="4"/>
  <c r="N269" i="4"/>
  <c r="N270" i="4"/>
  <c r="G263" i="4"/>
  <c r="G264" i="4"/>
  <c r="G265" i="4"/>
  <c r="G266" i="4"/>
  <c r="G267" i="4"/>
  <c r="G268" i="4"/>
  <c r="G269" i="4"/>
  <c r="G270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G238" i="4"/>
  <c r="G238" i="6" s="1"/>
  <c r="G239" i="4"/>
  <c r="G239" i="6" s="1"/>
  <c r="G240" i="4"/>
  <c r="F240" i="6" s="1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A238" i="6"/>
  <c r="A239" i="6"/>
  <c r="A240" i="6"/>
  <c r="U263" i="4"/>
  <c r="U267" i="4"/>
  <c r="U264" i="4"/>
  <c r="U268" i="4"/>
  <c r="U265" i="4"/>
  <c r="U269" i="4"/>
  <c r="U266" i="4"/>
  <c r="U270" i="4"/>
  <c r="U238" i="4"/>
  <c r="U242" i="4"/>
  <c r="U246" i="4"/>
  <c r="U250" i="4"/>
  <c r="U254" i="4"/>
  <c r="U258" i="4"/>
  <c r="U262" i="4"/>
  <c r="U239" i="4"/>
  <c r="U243" i="4"/>
  <c r="U247" i="4"/>
  <c r="U251" i="4"/>
  <c r="U255" i="4"/>
  <c r="U259" i="4"/>
  <c r="U240" i="4"/>
  <c r="U244" i="4"/>
  <c r="U248" i="4"/>
  <c r="U252" i="4"/>
  <c r="U256" i="4"/>
  <c r="U260" i="4"/>
  <c r="U241" i="4"/>
  <c r="U245" i="4"/>
  <c r="U249" i="4"/>
  <c r="U253" i="4"/>
  <c r="U257" i="4"/>
  <c r="U261" i="4"/>
  <c r="F238" i="6" l="1"/>
  <c r="H239" i="6"/>
  <c r="G240" i="6"/>
  <c r="F239" i="6"/>
  <c r="H238" i="6"/>
  <c r="N39" i="1" l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N38" i="1"/>
  <c r="D38" i="1"/>
  <c r="O13" i="1" l="1"/>
  <c r="H13" i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" i="4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V13" i="1"/>
  <c r="A101" i="6" l="1"/>
  <c r="A83" i="6"/>
  <c r="A192" i="6"/>
  <c r="A184" i="6"/>
  <c r="A166" i="6"/>
  <c r="A158" i="6"/>
  <c r="A144" i="6"/>
  <c r="A142" i="6"/>
  <c r="A140" i="6"/>
  <c r="A128" i="6"/>
  <c r="A181" i="6"/>
  <c r="A141" i="6"/>
  <c r="A133" i="6"/>
  <c r="A121" i="6"/>
  <c r="A232" i="6"/>
  <c r="A221" i="6"/>
  <c r="A102" i="6"/>
  <c r="A211" i="6"/>
  <c r="A45" i="6"/>
  <c r="A5" i="6"/>
  <c r="A120" i="6"/>
  <c r="A237" i="6"/>
  <c r="A233" i="6"/>
  <c r="A213" i="6"/>
  <c r="A227" i="6"/>
  <c r="A173" i="6"/>
  <c r="A125" i="6"/>
  <c r="A93" i="6"/>
  <c r="A64" i="6"/>
  <c r="A56" i="6"/>
  <c r="A30" i="6"/>
  <c r="A16" i="6"/>
  <c r="A209" i="6"/>
  <c r="A203" i="6"/>
  <c r="A177" i="6"/>
  <c r="A165" i="6"/>
  <c r="A139" i="6"/>
  <c r="A53" i="6"/>
  <c r="A13" i="6"/>
  <c r="A85" i="6"/>
  <c r="A230" i="6"/>
  <c r="A228" i="6"/>
  <c r="A81" i="6"/>
  <c r="A75" i="6"/>
  <c r="A49" i="6"/>
  <c r="A37" i="6"/>
  <c r="A94" i="6"/>
  <c r="A195" i="6"/>
  <c r="A149" i="6"/>
  <c r="A109" i="6"/>
  <c r="A38" i="6"/>
  <c r="A14" i="6"/>
  <c r="A201" i="6"/>
  <c r="A193" i="6"/>
  <c r="A189" i="6"/>
  <c r="A185" i="6"/>
  <c r="A147" i="6"/>
  <c r="A113" i="6"/>
  <c r="A61" i="6"/>
  <c r="A57" i="6"/>
  <c r="A21" i="6"/>
  <c r="A17" i="6"/>
  <c r="A182" i="6"/>
  <c r="A161" i="6"/>
  <c r="A159" i="6"/>
  <c r="A136" i="6"/>
  <c r="A132" i="6"/>
  <c r="A96" i="6"/>
  <c r="A67" i="6"/>
  <c r="A235" i="6"/>
  <c r="A224" i="6"/>
  <c r="A222" i="6"/>
  <c r="A214" i="6"/>
  <c r="A176" i="6"/>
  <c r="A153" i="6"/>
  <c r="A126" i="6"/>
  <c r="A88" i="6"/>
  <c r="A86" i="6"/>
  <c r="A48" i="6"/>
  <c r="A23" i="6"/>
  <c r="A42" i="6"/>
  <c r="A206" i="6"/>
  <c r="A80" i="6"/>
  <c r="A76" i="6"/>
  <c r="A200" i="6"/>
  <c r="A198" i="6"/>
  <c r="A196" i="6"/>
  <c r="A160" i="6"/>
  <c r="A137" i="6"/>
  <c r="A131" i="6"/>
  <c r="A129" i="6"/>
  <c r="A118" i="6"/>
  <c r="A114" i="6"/>
  <c r="A99" i="6"/>
  <c r="A97" i="6"/>
  <c r="A95" i="6"/>
  <c r="A77" i="6"/>
  <c r="A74" i="6"/>
  <c r="A70" i="6"/>
  <c r="A68" i="6"/>
  <c r="A66" i="6"/>
  <c r="A51" i="6"/>
  <c r="A32" i="6"/>
  <c r="A22" i="6"/>
  <c r="A236" i="6"/>
  <c r="A225" i="6"/>
  <c r="A219" i="6"/>
  <c r="A217" i="6"/>
  <c r="A215" i="6"/>
  <c r="A197" i="6"/>
  <c r="A190" i="6"/>
  <c r="A152" i="6"/>
  <c r="A150" i="6"/>
  <c r="A117" i="6"/>
  <c r="A112" i="6"/>
  <c r="A110" i="6"/>
  <c r="A91" i="6"/>
  <c r="A89" i="6"/>
  <c r="A87" i="6"/>
  <c r="A69" i="6"/>
  <c r="A62" i="6"/>
  <c r="A24" i="6"/>
  <c r="A9" i="6"/>
  <c r="A7" i="6"/>
  <c r="A178" i="6"/>
  <c r="A163" i="6"/>
  <c r="A138" i="6"/>
  <c r="A134" i="6"/>
  <c r="A130" i="6"/>
  <c r="A115" i="6"/>
  <c r="A73" i="6"/>
  <c r="A65" i="6"/>
  <c r="A54" i="6"/>
  <c r="A50" i="6"/>
  <c r="A35" i="6"/>
  <c r="A33" i="6"/>
  <c r="A31" i="6"/>
  <c r="A6" i="6"/>
  <c r="A229" i="6"/>
  <c r="A220" i="6"/>
  <c r="A216" i="6"/>
  <c r="A174" i="6"/>
  <c r="A155" i="6"/>
  <c r="A151" i="6"/>
  <c r="A46" i="6"/>
  <c r="A27" i="6"/>
  <c r="A25" i="6"/>
  <c r="A8" i="6"/>
  <c r="A187" i="6"/>
  <c r="A170" i="6"/>
  <c r="A168" i="6"/>
  <c r="A107" i="6"/>
  <c r="A105" i="6"/>
  <c r="A59" i="6"/>
  <c r="A40" i="6"/>
  <c r="A208" i="6"/>
  <c r="A204" i="6"/>
  <c r="A145" i="6"/>
  <c r="A78" i="6"/>
  <c r="A205" i="6"/>
  <c r="A202" i="6"/>
  <c r="A194" i="6"/>
  <c r="A179" i="6"/>
  <c r="A72" i="6"/>
  <c r="A171" i="6"/>
  <c r="A169" i="6"/>
  <c r="A157" i="6"/>
  <c r="A123" i="6"/>
  <c r="A106" i="6"/>
  <c r="A104" i="6"/>
  <c r="A43" i="6"/>
  <c r="A41" i="6"/>
  <c r="A29" i="6"/>
  <c r="A231" i="6"/>
  <c r="A226" i="6"/>
  <c r="A183" i="6"/>
  <c r="A164" i="6"/>
  <c r="A119" i="6"/>
  <c r="A100" i="6"/>
  <c r="A55" i="6"/>
  <c r="A36" i="6"/>
  <c r="A15" i="6"/>
  <c r="A207" i="6"/>
  <c r="A188" i="6"/>
  <c r="A162" i="6"/>
  <c r="A143" i="6"/>
  <c r="A124" i="6"/>
  <c r="A98" i="6"/>
  <c r="A79" i="6"/>
  <c r="A60" i="6"/>
  <c r="A34" i="6"/>
  <c r="A234" i="6"/>
  <c r="A212" i="6"/>
  <c r="A186" i="6"/>
  <c r="A167" i="6"/>
  <c r="A148" i="6"/>
  <c r="A122" i="6"/>
  <c r="A103" i="6"/>
  <c r="A84" i="6"/>
  <c r="A58" i="6"/>
  <c r="A39" i="6"/>
  <c r="A20" i="6"/>
  <c r="A18" i="6"/>
  <c r="A11" i="6"/>
  <c r="A4" i="6"/>
  <c r="A210" i="6"/>
  <c r="A191" i="6"/>
  <c r="A172" i="6"/>
  <c r="A146" i="6"/>
  <c r="A127" i="6"/>
  <c r="A108" i="6"/>
  <c r="A82" i="6"/>
  <c r="A63" i="6"/>
  <c r="A44" i="6"/>
  <c r="A175" i="6"/>
  <c r="A156" i="6"/>
  <c r="A111" i="6"/>
  <c r="A92" i="6"/>
  <c r="A47" i="6"/>
  <c r="A28" i="6"/>
  <c r="A223" i="6"/>
  <c r="A218" i="6"/>
  <c r="A199" i="6"/>
  <c r="A180" i="6"/>
  <c r="A154" i="6"/>
  <c r="A135" i="6"/>
  <c r="A116" i="6"/>
  <c r="A90" i="6"/>
  <c r="A71" i="6"/>
  <c r="A52" i="6"/>
  <c r="A26" i="6"/>
  <c r="A19" i="6"/>
  <c r="A12" i="6"/>
  <c r="A10" i="6"/>
  <c r="A3" i="6"/>
  <c r="E2" i="6" l="1"/>
  <c r="D2" i="6"/>
  <c r="C2" i="6"/>
  <c r="B2" i="6"/>
  <c r="A2" i="6" l="1"/>
  <c r="G4" i="2" l="1"/>
  <c r="G5" i="2"/>
  <c r="G6" i="2"/>
  <c r="G7" i="2"/>
  <c r="G8" i="2"/>
  <c r="G9" i="2"/>
  <c r="G10" i="2"/>
  <c r="G11" i="2"/>
  <c r="G12" i="2"/>
  <c r="G13" i="2"/>
  <c r="G14" i="2"/>
  <c r="G3" i="2"/>
  <c r="J4" i="2"/>
  <c r="J5" i="2"/>
  <c r="J6" i="2"/>
  <c r="J7" i="2"/>
  <c r="J8" i="2"/>
  <c r="J9" i="2"/>
  <c r="J10" i="2"/>
  <c r="J11" i="2"/>
  <c r="J12" i="2"/>
  <c r="J13" i="2"/>
  <c r="J14" i="2"/>
  <c r="J3" i="2"/>
  <c r="G234" i="4" l="1"/>
  <c r="G226" i="4"/>
  <c r="G218" i="4"/>
  <c r="G210" i="4"/>
  <c r="G202" i="4"/>
  <c r="G194" i="4"/>
  <c r="G186" i="4"/>
  <c r="G178" i="4"/>
  <c r="G170" i="4"/>
  <c r="G162" i="4"/>
  <c r="G154" i="4"/>
  <c r="G146" i="4"/>
  <c r="G138" i="4"/>
  <c r="G130" i="4"/>
  <c r="G122" i="4"/>
  <c r="G114" i="4"/>
  <c r="G106" i="4"/>
  <c r="G98" i="4"/>
  <c r="G90" i="4"/>
  <c r="G231" i="4"/>
  <c r="G222" i="4"/>
  <c r="G213" i="4"/>
  <c r="G204" i="4"/>
  <c r="G195" i="4"/>
  <c r="G185" i="4"/>
  <c r="G176" i="4"/>
  <c r="G167" i="4"/>
  <c r="G158" i="4"/>
  <c r="G149" i="4"/>
  <c r="G140" i="4"/>
  <c r="G131" i="4"/>
  <c r="G121" i="4"/>
  <c r="G112" i="4"/>
  <c r="G103" i="4"/>
  <c r="G94" i="4"/>
  <c r="G85" i="4"/>
  <c r="G77" i="4"/>
  <c r="G69" i="4"/>
  <c r="G61" i="4"/>
  <c r="G230" i="4"/>
  <c r="G221" i="4"/>
  <c r="G212" i="4"/>
  <c r="G203" i="4"/>
  <c r="G193" i="4"/>
  <c r="G184" i="4"/>
  <c r="G175" i="4"/>
  <c r="G166" i="4"/>
  <c r="G157" i="4"/>
  <c r="G148" i="4"/>
  <c r="G139" i="4"/>
  <c r="G129" i="4"/>
  <c r="G120" i="4"/>
  <c r="G111" i="4"/>
  <c r="G102" i="4"/>
  <c r="G93" i="4"/>
  <c r="G84" i="4"/>
  <c r="G76" i="4"/>
  <c r="G68" i="4"/>
  <c r="G237" i="4"/>
  <c r="G225" i="4"/>
  <c r="G214" i="4"/>
  <c r="G200" i="4"/>
  <c r="G189" i="4"/>
  <c r="G177" i="4"/>
  <c r="G164" i="4"/>
  <c r="G152" i="4"/>
  <c r="G141" i="4"/>
  <c r="G127" i="4"/>
  <c r="G116" i="4"/>
  <c r="G104" i="4"/>
  <c r="G91" i="4"/>
  <c r="G80" i="4"/>
  <c r="G70" i="4"/>
  <c r="G236" i="4"/>
  <c r="G224" i="4"/>
  <c r="G211" i="4"/>
  <c r="G199" i="4"/>
  <c r="G188" i="4"/>
  <c r="G174" i="4"/>
  <c r="G163" i="4"/>
  <c r="G151" i="4"/>
  <c r="G137" i="4"/>
  <c r="G126" i="4"/>
  <c r="G115" i="4"/>
  <c r="G101" i="4"/>
  <c r="G89" i="4"/>
  <c r="G79" i="4"/>
  <c r="G67" i="4"/>
  <c r="G235" i="4"/>
  <c r="G223" i="4"/>
  <c r="G209" i="4"/>
  <c r="G198" i="4"/>
  <c r="G187" i="4"/>
  <c r="G173" i="4"/>
  <c r="G161" i="4"/>
  <c r="G150" i="4"/>
  <c r="G136" i="4"/>
  <c r="G125" i="4"/>
  <c r="G113" i="4"/>
  <c r="G100" i="4"/>
  <c r="G88" i="4"/>
  <c r="G78" i="4"/>
  <c r="G66" i="4"/>
  <c r="G233" i="4"/>
  <c r="G220" i="4"/>
  <c r="G208" i="4"/>
  <c r="G197" i="4"/>
  <c r="G183" i="4"/>
  <c r="G172" i="4"/>
  <c r="G160" i="4"/>
  <c r="G147" i="4"/>
  <c r="G135" i="4"/>
  <c r="G124" i="4"/>
  <c r="G110" i="4"/>
  <c r="G99" i="4"/>
  <c r="G87" i="4"/>
  <c r="G75" i="4"/>
  <c r="G65" i="4"/>
  <c r="G232" i="4"/>
  <c r="G219" i="4"/>
  <c r="G207" i="4"/>
  <c r="G196" i="4"/>
  <c r="G182" i="4"/>
  <c r="G171" i="4"/>
  <c r="G159" i="4"/>
  <c r="G145" i="4"/>
  <c r="G134" i="4"/>
  <c r="G123" i="4"/>
  <c r="G109" i="4"/>
  <c r="G97" i="4"/>
  <c r="G86" i="4"/>
  <c r="G74" i="4"/>
  <c r="G64" i="4"/>
  <c r="G228" i="4"/>
  <c r="G192" i="4"/>
  <c r="G165" i="4"/>
  <c r="G132" i="4"/>
  <c r="G96" i="4"/>
  <c r="G71" i="4"/>
  <c r="G227" i="4"/>
  <c r="G191" i="4"/>
  <c r="G156" i="4"/>
  <c r="G128" i="4"/>
  <c r="G95" i="4"/>
  <c r="G63" i="4"/>
  <c r="G217" i="4"/>
  <c r="G190" i="4"/>
  <c r="G155" i="4"/>
  <c r="G119" i="4"/>
  <c r="G92" i="4"/>
  <c r="G62" i="4"/>
  <c r="G216" i="4"/>
  <c r="G181" i="4"/>
  <c r="G153" i="4"/>
  <c r="G118" i="4"/>
  <c r="G83" i="4"/>
  <c r="G215" i="4"/>
  <c r="G180" i="4"/>
  <c r="G144" i="4"/>
  <c r="G117" i="4"/>
  <c r="G82" i="4"/>
  <c r="G206" i="4"/>
  <c r="G179" i="4"/>
  <c r="G143" i="4"/>
  <c r="G108" i="4"/>
  <c r="G107" i="4"/>
  <c r="G229" i="4"/>
  <c r="G105" i="4"/>
  <c r="G205" i="4"/>
  <c r="G81" i="4"/>
  <c r="G201" i="4"/>
  <c r="G73" i="4"/>
  <c r="G169" i="4"/>
  <c r="G72" i="4"/>
  <c r="G168" i="4"/>
  <c r="G142" i="4"/>
  <c r="G133" i="4"/>
  <c r="G19" i="4"/>
  <c r="G46" i="4"/>
  <c r="G29" i="4"/>
  <c r="G3" i="4"/>
  <c r="G9" i="4"/>
  <c r="G33" i="4"/>
  <c r="G45" i="4"/>
  <c r="G31" i="4"/>
  <c r="G35" i="4"/>
  <c r="G59" i="4"/>
  <c r="G32" i="4"/>
  <c r="G36" i="4"/>
  <c r="G60" i="4"/>
  <c r="G25" i="4"/>
  <c r="G34" i="4"/>
  <c r="G56" i="4"/>
  <c r="G28" i="4"/>
  <c r="G8" i="4"/>
  <c r="G20" i="4"/>
  <c r="G47" i="4"/>
  <c r="G30" i="4"/>
  <c r="G4" i="4"/>
  <c r="G10" i="4"/>
  <c r="G58" i="4"/>
  <c r="G17" i="4"/>
  <c r="G48" i="4"/>
  <c r="G40" i="4"/>
  <c r="G52" i="4"/>
  <c r="G49" i="4"/>
  <c r="G41" i="4"/>
  <c r="G53" i="4"/>
  <c r="G16" i="4"/>
  <c r="G39" i="4"/>
  <c r="G26" i="4"/>
  <c r="G42" i="4"/>
  <c r="G21" i="4"/>
  <c r="G22" i="4"/>
  <c r="G23" i="4"/>
  <c r="G50" i="4"/>
  <c r="G43" i="4"/>
  <c r="G5" i="4"/>
  <c r="G37" i="4"/>
  <c r="G54" i="4"/>
  <c r="G15" i="4"/>
  <c r="G24" i="4"/>
  <c r="G51" i="4"/>
  <c r="G44" i="4"/>
  <c r="G6" i="4"/>
  <c r="G38" i="4"/>
  <c r="G55" i="4"/>
  <c r="G27" i="4"/>
  <c r="G7" i="4"/>
  <c r="G18" i="4"/>
  <c r="G2" i="4"/>
  <c r="G57" i="4"/>
  <c r="G14" i="4"/>
  <c r="G13" i="4"/>
  <c r="G11" i="4"/>
  <c r="G12" i="4"/>
  <c r="U112" i="4"/>
  <c r="U136" i="4"/>
  <c r="U82" i="4"/>
  <c r="U6" i="4"/>
  <c r="U30" i="4"/>
  <c r="U176" i="4"/>
  <c r="U223" i="4"/>
  <c r="U153" i="4"/>
  <c r="U5" i="4"/>
  <c r="U60" i="4"/>
  <c r="U90" i="4"/>
  <c r="U126" i="4"/>
  <c r="U190" i="4"/>
  <c r="U26" i="4"/>
  <c r="U180" i="4"/>
  <c r="U146" i="4"/>
  <c r="U211" i="4"/>
  <c r="U227" i="4"/>
  <c r="U40" i="4"/>
  <c r="U77" i="4"/>
  <c r="U88" i="4"/>
  <c r="U108" i="4"/>
  <c r="U7" i="4"/>
  <c r="U61" i="4"/>
  <c r="U66" i="4"/>
  <c r="U229" i="4"/>
  <c r="U2" i="4"/>
  <c r="U177" i="4"/>
  <c r="U216" i="4"/>
  <c r="U167" i="4"/>
  <c r="U209" i="4"/>
  <c r="U118" i="4"/>
  <c r="U37" i="4"/>
  <c r="U9" i="4"/>
  <c r="U231" i="4"/>
  <c r="U115" i="4"/>
  <c r="U155" i="4"/>
  <c r="U42" i="4"/>
  <c r="U184" i="4"/>
  <c r="U172" i="4"/>
  <c r="U169" i="4"/>
  <c r="U194" i="4"/>
  <c r="U166" i="4"/>
  <c r="U147" i="4"/>
  <c r="U168" i="4"/>
  <c r="U178" i="4"/>
  <c r="U80" i="4"/>
  <c r="U105" i="4"/>
  <c r="U164" i="4"/>
  <c r="U78" i="4"/>
  <c r="U196" i="4"/>
  <c r="U142" i="4"/>
  <c r="U46" i="4"/>
  <c r="U117" i="4"/>
  <c r="U73" i="4"/>
  <c r="U116" i="4"/>
  <c r="U186" i="4"/>
  <c r="U192" i="4"/>
  <c r="U121" i="4"/>
  <c r="U150" i="4"/>
  <c r="U132" i="4"/>
  <c r="U226" i="4"/>
  <c r="U28" i="4"/>
  <c r="U182" i="4"/>
  <c r="U34" i="4"/>
  <c r="U29" i="4"/>
  <c r="U191" i="4"/>
  <c r="U174" i="4"/>
  <c r="U230" i="4"/>
  <c r="U221" i="4"/>
  <c r="U220" i="4"/>
  <c r="U205" i="4"/>
  <c r="U175" i="4"/>
  <c r="U24" i="4"/>
  <c r="U103" i="4"/>
  <c r="U125" i="4"/>
  <c r="U206" i="4"/>
  <c r="U38" i="4"/>
  <c r="U22" i="4"/>
  <c r="U148" i="4"/>
  <c r="U124" i="4"/>
  <c r="U133" i="4"/>
  <c r="U102" i="4"/>
  <c r="U123" i="4"/>
  <c r="U212" i="4"/>
  <c r="U208" i="4"/>
  <c r="U81" i="4"/>
  <c r="U140" i="4"/>
  <c r="U18" i="4"/>
  <c r="U94" i="4"/>
  <c r="U113" i="4"/>
  <c r="U179" i="4"/>
  <c r="U55" i="4"/>
  <c r="U49" i="4"/>
  <c r="U158" i="4"/>
  <c r="U198" i="4"/>
  <c r="U83" i="4"/>
  <c r="U54" i="4"/>
  <c r="U111" i="4"/>
  <c r="U75" i="4"/>
  <c r="U3" i="4"/>
  <c r="U130" i="4"/>
  <c r="U93" i="4"/>
  <c r="U232" i="4"/>
  <c r="U33" i="4"/>
  <c r="U114" i="4"/>
  <c r="U163" i="4"/>
  <c r="U10" i="4"/>
  <c r="U207" i="4"/>
  <c r="U31" i="4"/>
  <c r="U45" i="4"/>
  <c r="U139" i="4"/>
  <c r="U19" i="4"/>
  <c r="U95" i="4"/>
  <c r="U197" i="4"/>
  <c r="U69" i="4"/>
  <c r="U100" i="4"/>
  <c r="U27" i="4"/>
  <c r="U214" i="4"/>
  <c r="U159" i="4"/>
  <c r="U213" i="4"/>
  <c r="U134" i="4"/>
  <c r="U195" i="4"/>
  <c r="U44" i="4"/>
  <c r="U234" i="4"/>
  <c r="U56" i="4"/>
  <c r="U68" i="4"/>
  <c r="U35" i="4"/>
  <c r="U129" i="4"/>
  <c r="U200" i="4"/>
  <c r="U193" i="4"/>
  <c r="U202" i="4"/>
  <c r="U47" i="4"/>
  <c r="U91" i="4"/>
  <c r="U14" i="4"/>
  <c r="U70" i="4"/>
  <c r="U145" i="4"/>
  <c r="U97" i="4"/>
  <c r="U237" i="4"/>
  <c r="U89" i="4"/>
  <c r="U87" i="4"/>
  <c r="U199" i="4"/>
  <c r="U52" i="4"/>
  <c r="U128" i="4"/>
  <c r="U233" i="4"/>
  <c r="U63" i="4"/>
  <c r="U92" i="4"/>
  <c r="U236" i="4"/>
  <c r="U96" i="4"/>
  <c r="U17" i="4"/>
  <c r="U218" i="4"/>
  <c r="U141" i="4"/>
  <c r="U8" i="4"/>
  <c r="U57" i="4"/>
  <c r="U32" i="4"/>
  <c r="U119" i="4"/>
  <c r="U204" i="4"/>
  <c r="U79" i="4"/>
  <c r="U23" i="4"/>
  <c r="U135" i="4"/>
  <c r="U185" i="4"/>
  <c r="U181" i="4"/>
  <c r="U72" i="4"/>
  <c r="U137" i="4"/>
  <c r="U39" i="4"/>
  <c r="U224" i="4"/>
  <c r="U48" i="4"/>
  <c r="U210" i="4"/>
  <c r="U20" i="4"/>
  <c r="U187" i="4"/>
  <c r="U131" i="4"/>
  <c r="U144" i="4"/>
  <c r="U165" i="4"/>
  <c r="U76" i="4"/>
  <c r="U188" i="4"/>
  <c r="U110" i="4"/>
  <c r="U104" i="4"/>
  <c r="U203" i="4"/>
  <c r="U201" i="4"/>
  <c r="U219" i="4"/>
  <c r="U85" i="4"/>
  <c r="U143" i="4"/>
  <c r="U36" i="4"/>
  <c r="U189" i="4"/>
  <c r="U25" i="4"/>
  <c r="U67" i="4"/>
  <c r="U109" i="4"/>
  <c r="U50" i="4"/>
  <c r="U173" i="4"/>
  <c r="U99" i="4"/>
  <c r="U183" i="4"/>
  <c r="U64" i="4"/>
  <c r="U4" i="4"/>
  <c r="U170" i="4"/>
  <c r="U58" i="4"/>
  <c r="U152" i="4"/>
  <c r="U65" i="4"/>
  <c r="U53" i="4"/>
  <c r="U59" i="4"/>
  <c r="U120" i="4"/>
  <c r="U138" i="4"/>
  <c r="U122" i="4"/>
  <c r="U41" i="4"/>
  <c r="U13" i="4"/>
  <c r="U106" i="4"/>
  <c r="U16" i="4"/>
  <c r="U162" i="4"/>
  <c r="U156" i="4"/>
  <c r="U86" i="4"/>
  <c r="U160" i="4"/>
  <c r="U225" i="4"/>
  <c r="U222" i="4"/>
  <c r="U101" i="4"/>
  <c r="U21" i="4"/>
  <c r="U62" i="4"/>
  <c r="U157" i="4"/>
  <c r="U11" i="4"/>
  <c r="U235" i="4"/>
  <c r="U43" i="4"/>
  <c r="U98" i="4"/>
  <c r="U217" i="4"/>
  <c r="U107" i="4"/>
  <c r="U71" i="4"/>
  <c r="U228" i="4"/>
  <c r="U74" i="4"/>
  <c r="U149" i="4"/>
  <c r="U15" i="4"/>
  <c r="U51" i="4"/>
  <c r="U12" i="4"/>
  <c r="U151" i="4"/>
  <c r="U171" i="4"/>
  <c r="U154" i="4"/>
  <c r="U127" i="4"/>
  <c r="U215" i="4"/>
  <c r="U161" i="4"/>
  <c r="U84" i="4"/>
  <c r="H12" i="6" l="1"/>
  <c r="H11" i="6"/>
  <c r="H13" i="6"/>
  <c r="H14" i="6"/>
  <c r="H44" i="6"/>
  <c r="H10" i="6"/>
  <c r="H105" i="6"/>
  <c r="H216" i="6"/>
  <c r="H165" i="6"/>
  <c r="H135" i="6"/>
  <c r="H233" i="6"/>
  <c r="H150" i="6"/>
  <c r="H67" i="6"/>
  <c r="H163" i="6"/>
  <c r="H80" i="6"/>
  <c r="H177" i="6"/>
  <c r="H84" i="6"/>
  <c r="H157" i="6"/>
  <c r="H230" i="6"/>
  <c r="H121" i="6"/>
  <c r="H195" i="6"/>
  <c r="H114" i="6"/>
  <c r="H178" i="6"/>
  <c r="H51" i="6"/>
  <c r="H23" i="6"/>
  <c r="H41" i="6"/>
  <c r="H4" i="6"/>
  <c r="H25" i="6"/>
  <c r="H33" i="6"/>
  <c r="H168" i="6"/>
  <c r="H229" i="6"/>
  <c r="H144" i="6"/>
  <c r="H62" i="6"/>
  <c r="H128" i="6"/>
  <c r="H192" i="6"/>
  <c r="H134" i="6"/>
  <c r="H232" i="6"/>
  <c r="H147" i="6"/>
  <c r="H66" i="6"/>
  <c r="H161" i="6"/>
  <c r="H79" i="6"/>
  <c r="H174" i="6"/>
  <c r="H91" i="6"/>
  <c r="H189" i="6"/>
  <c r="H93" i="6"/>
  <c r="H166" i="6"/>
  <c r="H61" i="6"/>
  <c r="H131" i="6"/>
  <c r="H204" i="6"/>
  <c r="H122" i="6"/>
  <c r="H186" i="6"/>
  <c r="H213" i="6"/>
  <c r="H130" i="6"/>
  <c r="H194" i="6"/>
  <c r="H7" i="6"/>
  <c r="H15" i="6"/>
  <c r="H21" i="6"/>
  <c r="H52" i="6"/>
  <c r="H47" i="6"/>
  <c r="H36" i="6"/>
  <c r="H3" i="6"/>
  <c r="H169" i="6"/>
  <c r="H108" i="6"/>
  <c r="H215" i="6"/>
  <c r="H119" i="6"/>
  <c r="H191" i="6"/>
  <c r="H64" i="6"/>
  <c r="H159" i="6"/>
  <c r="H75" i="6"/>
  <c r="H172" i="6"/>
  <c r="H88" i="6"/>
  <c r="H187" i="6"/>
  <c r="H101" i="6"/>
  <c r="H199" i="6"/>
  <c r="H116" i="6"/>
  <c r="H214" i="6"/>
  <c r="H111" i="6"/>
  <c r="H184" i="6"/>
  <c r="H77" i="6"/>
  <c r="H149" i="6"/>
  <c r="H222" i="6"/>
  <c r="H138" i="6"/>
  <c r="H202" i="6"/>
  <c r="H27" i="6"/>
  <c r="H54" i="6"/>
  <c r="H42" i="6"/>
  <c r="H40" i="6"/>
  <c r="H20" i="6"/>
  <c r="H32" i="6"/>
  <c r="H29" i="6"/>
  <c r="H73" i="6"/>
  <c r="H143" i="6"/>
  <c r="H83" i="6"/>
  <c r="H155" i="6"/>
  <c r="H227" i="6"/>
  <c r="H74" i="6"/>
  <c r="H171" i="6"/>
  <c r="H87" i="6"/>
  <c r="H183" i="6"/>
  <c r="H100" i="6"/>
  <c r="H198" i="6"/>
  <c r="H115" i="6"/>
  <c r="H211" i="6"/>
  <c r="H127" i="6"/>
  <c r="H225" i="6"/>
  <c r="H120" i="6"/>
  <c r="H193" i="6"/>
  <c r="H85" i="6"/>
  <c r="H158" i="6"/>
  <c r="H231" i="6"/>
  <c r="H146" i="6"/>
  <c r="H210" i="6"/>
  <c r="H57" i="6"/>
  <c r="H34" i="6"/>
  <c r="H117" i="6"/>
  <c r="H219" i="6"/>
  <c r="H49" i="6"/>
  <c r="H9" i="6"/>
  <c r="H180" i="6"/>
  <c r="H228" i="6"/>
  <c r="H160" i="6"/>
  <c r="H89" i="6"/>
  <c r="H200" i="6"/>
  <c r="H69" i="6"/>
  <c r="H55" i="6"/>
  <c r="H37" i="6"/>
  <c r="H26" i="6"/>
  <c r="H48" i="6"/>
  <c r="H8" i="6"/>
  <c r="H59" i="6"/>
  <c r="H46" i="6"/>
  <c r="H201" i="6"/>
  <c r="H179" i="6"/>
  <c r="H118" i="6"/>
  <c r="H190" i="6"/>
  <c r="H71" i="6"/>
  <c r="H86" i="6"/>
  <c r="H182" i="6"/>
  <c r="H99" i="6"/>
  <c r="H197" i="6"/>
  <c r="H113" i="6"/>
  <c r="H209" i="6"/>
  <c r="H126" i="6"/>
  <c r="H224" i="6"/>
  <c r="H141" i="6"/>
  <c r="H237" i="6"/>
  <c r="H129" i="6"/>
  <c r="H203" i="6"/>
  <c r="H94" i="6"/>
  <c r="H167" i="6"/>
  <c r="H90" i="6"/>
  <c r="H154" i="6"/>
  <c r="H218" i="6"/>
  <c r="H53" i="6"/>
  <c r="H142" i="6"/>
  <c r="H95" i="6"/>
  <c r="H18" i="6"/>
  <c r="H22" i="6"/>
  <c r="H60" i="6"/>
  <c r="H107" i="6"/>
  <c r="H156" i="6"/>
  <c r="H65" i="6"/>
  <c r="H173" i="6"/>
  <c r="H104" i="6"/>
  <c r="H140" i="6"/>
  <c r="H38" i="6"/>
  <c r="H5" i="6"/>
  <c r="H39" i="6"/>
  <c r="H17" i="6"/>
  <c r="H28" i="6"/>
  <c r="H35" i="6"/>
  <c r="H19" i="6"/>
  <c r="H81" i="6"/>
  <c r="H206" i="6"/>
  <c r="H153" i="6"/>
  <c r="H217" i="6"/>
  <c r="H96" i="6"/>
  <c r="H97" i="6"/>
  <c r="H196" i="6"/>
  <c r="H110" i="6"/>
  <c r="H208" i="6"/>
  <c r="H125" i="6"/>
  <c r="H223" i="6"/>
  <c r="H137" i="6"/>
  <c r="H236" i="6"/>
  <c r="H152" i="6"/>
  <c r="H68" i="6"/>
  <c r="H139" i="6"/>
  <c r="H212" i="6"/>
  <c r="H103" i="6"/>
  <c r="H176" i="6"/>
  <c r="H98" i="6"/>
  <c r="H162" i="6"/>
  <c r="H226" i="6"/>
  <c r="H50" i="6"/>
  <c r="H45" i="6"/>
  <c r="H123" i="6"/>
  <c r="H24" i="6"/>
  <c r="H30" i="6"/>
  <c r="H72" i="6"/>
  <c r="H92" i="6"/>
  <c r="H145" i="6"/>
  <c r="H78" i="6"/>
  <c r="H188" i="6"/>
  <c r="H102" i="6"/>
  <c r="H175" i="6"/>
  <c r="H6" i="6"/>
  <c r="H43" i="6"/>
  <c r="H16" i="6"/>
  <c r="H58" i="6"/>
  <c r="H56" i="6"/>
  <c r="H31" i="6"/>
  <c r="H133" i="6"/>
  <c r="H205" i="6"/>
  <c r="H82" i="6"/>
  <c r="H181" i="6"/>
  <c r="H63" i="6"/>
  <c r="H132" i="6"/>
  <c r="H109" i="6"/>
  <c r="H207" i="6"/>
  <c r="H124" i="6"/>
  <c r="H220" i="6"/>
  <c r="H136" i="6"/>
  <c r="H235" i="6"/>
  <c r="H151" i="6"/>
  <c r="H70" i="6"/>
  <c r="H164" i="6"/>
  <c r="H76" i="6"/>
  <c r="H148" i="6"/>
  <c r="H221" i="6"/>
  <c r="H112" i="6"/>
  <c r="H185" i="6"/>
  <c r="H106" i="6"/>
  <c r="H170" i="6"/>
  <c r="H234" i="6"/>
  <c r="G44" i="6"/>
  <c r="F44" i="6"/>
  <c r="F10" i="6"/>
  <c r="G10" i="6"/>
  <c r="F105" i="6"/>
  <c r="G105" i="6"/>
  <c r="F216" i="6"/>
  <c r="G216" i="6"/>
  <c r="F165" i="6"/>
  <c r="G165" i="6"/>
  <c r="F135" i="6"/>
  <c r="G135" i="6"/>
  <c r="F233" i="6"/>
  <c r="G233" i="6"/>
  <c r="F150" i="6"/>
  <c r="G150" i="6"/>
  <c r="F67" i="6"/>
  <c r="G67" i="6"/>
  <c r="F163" i="6"/>
  <c r="G163" i="6"/>
  <c r="F80" i="6"/>
  <c r="G80" i="6"/>
  <c r="F177" i="6"/>
  <c r="G177" i="6"/>
  <c r="G84" i="6"/>
  <c r="F84" i="6"/>
  <c r="G157" i="6"/>
  <c r="F157" i="6"/>
  <c r="F230" i="6"/>
  <c r="G230" i="6"/>
  <c r="G121" i="6"/>
  <c r="F121" i="6"/>
  <c r="F195" i="6"/>
  <c r="G195" i="6"/>
  <c r="G114" i="6"/>
  <c r="F114" i="6"/>
  <c r="F178" i="6"/>
  <c r="G178" i="6"/>
  <c r="F2" i="6"/>
  <c r="F51" i="6"/>
  <c r="G51" i="6"/>
  <c r="G23" i="6"/>
  <c r="F23" i="6"/>
  <c r="G41" i="6"/>
  <c r="F41" i="6"/>
  <c r="G4" i="6"/>
  <c r="F4" i="6"/>
  <c r="G25" i="6"/>
  <c r="F25" i="6"/>
  <c r="F33" i="6"/>
  <c r="G33" i="6"/>
  <c r="F168" i="6"/>
  <c r="G168" i="6"/>
  <c r="G229" i="6"/>
  <c r="F229" i="6"/>
  <c r="F144" i="6"/>
  <c r="G144" i="6"/>
  <c r="G62" i="6"/>
  <c r="F62" i="6"/>
  <c r="F128" i="6"/>
  <c r="G128" i="6"/>
  <c r="F192" i="6"/>
  <c r="G192" i="6"/>
  <c r="F134" i="6"/>
  <c r="G134" i="6"/>
  <c r="G232" i="6"/>
  <c r="F232" i="6"/>
  <c r="F147" i="6"/>
  <c r="G147" i="6"/>
  <c r="F66" i="6"/>
  <c r="G66" i="6"/>
  <c r="F161" i="6"/>
  <c r="G161" i="6"/>
  <c r="G79" i="6"/>
  <c r="F79" i="6"/>
  <c r="F174" i="6"/>
  <c r="G174" i="6"/>
  <c r="F91" i="6"/>
  <c r="G91" i="6"/>
  <c r="F189" i="6"/>
  <c r="G189" i="6"/>
  <c r="F93" i="6"/>
  <c r="G93" i="6"/>
  <c r="F166" i="6"/>
  <c r="G166" i="6"/>
  <c r="F61" i="6"/>
  <c r="G61" i="6"/>
  <c r="F131" i="6"/>
  <c r="G131" i="6"/>
  <c r="G204" i="6"/>
  <c r="F204" i="6"/>
  <c r="F122" i="6"/>
  <c r="G122" i="6"/>
  <c r="F186" i="6"/>
  <c r="G186" i="6"/>
  <c r="G213" i="6"/>
  <c r="F213" i="6"/>
  <c r="F130" i="6"/>
  <c r="G130" i="6"/>
  <c r="G194" i="6"/>
  <c r="F194" i="6"/>
  <c r="F7" i="6"/>
  <c r="G7" i="6"/>
  <c r="G15" i="6"/>
  <c r="F15" i="6"/>
  <c r="F21" i="6"/>
  <c r="G21" i="6"/>
  <c r="G52" i="6"/>
  <c r="F52" i="6"/>
  <c r="G47" i="6"/>
  <c r="F47" i="6"/>
  <c r="G36" i="6"/>
  <c r="F36" i="6"/>
  <c r="F3" i="6"/>
  <c r="G3" i="6"/>
  <c r="F169" i="6"/>
  <c r="G169" i="6"/>
  <c r="G108" i="6"/>
  <c r="F108" i="6"/>
  <c r="F215" i="6"/>
  <c r="G215" i="6"/>
  <c r="G119" i="6"/>
  <c r="F119" i="6"/>
  <c r="G191" i="6"/>
  <c r="F191" i="6"/>
  <c r="F64" i="6"/>
  <c r="G64" i="6"/>
  <c r="G159" i="6"/>
  <c r="F159" i="6"/>
  <c r="F75" i="6"/>
  <c r="G75" i="6"/>
  <c r="G172" i="6"/>
  <c r="F172" i="6"/>
  <c r="F88" i="6"/>
  <c r="G88" i="6"/>
  <c r="F187" i="6"/>
  <c r="G187" i="6"/>
  <c r="G101" i="6"/>
  <c r="F101" i="6"/>
  <c r="F199" i="6"/>
  <c r="G199" i="6"/>
  <c r="G116" i="6"/>
  <c r="F116" i="6"/>
  <c r="F214" i="6"/>
  <c r="G214" i="6"/>
  <c r="G111" i="6"/>
  <c r="F111" i="6"/>
  <c r="F184" i="6"/>
  <c r="G184" i="6"/>
  <c r="G77" i="6"/>
  <c r="F77" i="6"/>
  <c r="F149" i="6"/>
  <c r="G149" i="6"/>
  <c r="F222" i="6"/>
  <c r="G222" i="6"/>
  <c r="G138" i="6"/>
  <c r="F138" i="6"/>
  <c r="G202" i="6"/>
  <c r="F202" i="6"/>
  <c r="G12" i="6"/>
  <c r="F12" i="6"/>
  <c r="F27" i="6"/>
  <c r="G27" i="6"/>
  <c r="G54" i="6"/>
  <c r="F54" i="6"/>
  <c r="F42" i="6"/>
  <c r="G42" i="6"/>
  <c r="F40" i="6"/>
  <c r="G40" i="6"/>
  <c r="G20" i="6"/>
  <c r="F20" i="6"/>
  <c r="F32" i="6"/>
  <c r="G32" i="6"/>
  <c r="G29" i="6"/>
  <c r="F29" i="6"/>
  <c r="G73" i="6"/>
  <c r="F73" i="6"/>
  <c r="G143" i="6"/>
  <c r="F143" i="6"/>
  <c r="F83" i="6"/>
  <c r="G83" i="6"/>
  <c r="F155" i="6"/>
  <c r="G155" i="6"/>
  <c r="F227" i="6"/>
  <c r="G227" i="6"/>
  <c r="F74" i="6"/>
  <c r="G74" i="6"/>
  <c r="F171" i="6"/>
  <c r="G171" i="6"/>
  <c r="F87" i="6"/>
  <c r="G87" i="6"/>
  <c r="F183" i="6"/>
  <c r="G183" i="6"/>
  <c r="G100" i="6"/>
  <c r="F100" i="6"/>
  <c r="F198" i="6"/>
  <c r="G198" i="6"/>
  <c r="F115" i="6"/>
  <c r="G115" i="6"/>
  <c r="F211" i="6"/>
  <c r="G211" i="6"/>
  <c r="G127" i="6"/>
  <c r="F127" i="6"/>
  <c r="F225" i="6"/>
  <c r="G225" i="6"/>
  <c r="G120" i="6"/>
  <c r="F120" i="6"/>
  <c r="G193" i="6"/>
  <c r="F193" i="6"/>
  <c r="G85" i="6"/>
  <c r="F85" i="6"/>
  <c r="G158" i="6"/>
  <c r="F158" i="6"/>
  <c r="G231" i="6"/>
  <c r="F231" i="6"/>
  <c r="F146" i="6"/>
  <c r="G146" i="6"/>
  <c r="G210" i="6"/>
  <c r="F210" i="6"/>
  <c r="F57" i="6"/>
  <c r="G57" i="6"/>
  <c r="G34" i="6"/>
  <c r="F34" i="6"/>
  <c r="F117" i="6"/>
  <c r="G117" i="6"/>
  <c r="F219" i="6"/>
  <c r="G219" i="6"/>
  <c r="F49" i="6"/>
  <c r="G49" i="6"/>
  <c r="F9" i="6"/>
  <c r="G9" i="6"/>
  <c r="G180" i="6"/>
  <c r="F180" i="6"/>
  <c r="F228" i="6"/>
  <c r="G228" i="6"/>
  <c r="F160" i="6"/>
  <c r="G160" i="6"/>
  <c r="F89" i="6"/>
  <c r="G89" i="6"/>
  <c r="F200" i="6"/>
  <c r="G200" i="6"/>
  <c r="F69" i="6"/>
  <c r="G69" i="6"/>
  <c r="F11" i="6"/>
  <c r="G11" i="6"/>
  <c r="F55" i="6"/>
  <c r="G55" i="6"/>
  <c r="F37" i="6"/>
  <c r="G37" i="6"/>
  <c r="F26" i="6"/>
  <c r="G26" i="6"/>
  <c r="F48" i="6"/>
  <c r="G48" i="6"/>
  <c r="F8" i="6"/>
  <c r="G8" i="6"/>
  <c r="F59" i="6"/>
  <c r="G59" i="6"/>
  <c r="F46" i="6"/>
  <c r="G46" i="6"/>
  <c r="F201" i="6"/>
  <c r="G201" i="6"/>
  <c r="F179" i="6"/>
  <c r="G179" i="6"/>
  <c r="F118" i="6"/>
  <c r="G118" i="6"/>
  <c r="F190" i="6"/>
  <c r="G190" i="6"/>
  <c r="F71" i="6"/>
  <c r="G71" i="6"/>
  <c r="G86" i="6"/>
  <c r="F86" i="6"/>
  <c r="F182" i="6"/>
  <c r="G182" i="6"/>
  <c r="F99" i="6"/>
  <c r="G99" i="6"/>
  <c r="F197" i="6"/>
  <c r="G197" i="6"/>
  <c r="F113" i="6"/>
  <c r="G113" i="6"/>
  <c r="F209" i="6"/>
  <c r="G209" i="6"/>
  <c r="F126" i="6"/>
  <c r="G126" i="6"/>
  <c r="G224" i="6"/>
  <c r="F224" i="6"/>
  <c r="F141" i="6"/>
  <c r="G141" i="6"/>
  <c r="G237" i="6"/>
  <c r="F237" i="6"/>
  <c r="G129" i="6"/>
  <c r="F129" i="6"/>
  <c r="F203" i="6"/>
  <c r="G203" i="6"/>
  <c r="F94" i="6"/>
  <c r="G94" i="6"/>
  <c r="G167" i="6"/>
  <c r="F167" i="6"/>
  <c r="F90" i="6"/>
  <c r="G90" i="6"/>
  <c r="F154" i="6"/>
  <c r="G154" i="6"/>
  <c r="F218" i="6"/>
  <c r="G218" i="6"/>
  <c r="G53" i="6"/>
  <c r="F53" i="6"/>
  <c r="F142" i="6"/>
  <c r="G142" i="6"/>
  <c r="G95" i="6"/>
  <c r="F95" i="6"/>
  <c r="F18" i="6"/>
  <c r="G18" i="6"/>
  <c r="F22" i="6"/>
  <c r="G22" i="6"/>
  <c r="G60" i="6"/>
  <c r="F60" i="6"/>
  <c r="F107" i="6"/>
  <c r="G107" i="6"/>
  <c r="G156" i="6"/>
  <c r="F156" i="6"/>
  <c r="F65" i="6"/>
  <c r="G65" i="6"/>
  <c r="G173" i="6"/>
  <c r="F173" i="6"/>
  <c r="F104" i="6"/>
  <c r="G104" i="6"/>
  <c r="G140" i="6"/>
  <c r="F140" i="6"/>
  <c r="F13" i="6"/>
  <c r="G13" i="6"/>
  <c r="F38" i="6"/>
  <c r="G38" i="6"/>
  <c r="G5" i="6"/>
  <c r="F5" i="6"/>
  <c r="G39" i="6"/>
  <c r="F39" i="6"/>
  <c r="F17" i="6"/>
  <c r="G17" i="6"/>
  <c r="G28" i="6"/>
  <c r="F28" i="6"/>
  <c r="F35" i="6"/>
  <c r="G35" i="6"/>
  <c r="F19" i="6"/>
  <c r="G19" i="6"/>
  <c r="F81" i="6"/>
  <c r="G81" i="6"/>
  <c r="F206" i="6"/>
  <c r="G206" i="6"/>
  <c r="F153" i="6"/>
  <c r="G153" i="6"/>
  <c r="G217" i="6"/>
  <c r="F217" i="6"/>
  <c r="G96" i="6"/>
  <c r="F96" i="6"/>
  <c r="G97" i="6"/>
  <c r="F97" i="6"/>
  <c r="G196" i="6"/>
  <c r="F196" i="6"/>
  <c r="G110" i="6"/>
  <c r="F110" i="6"/>
  <c r="F208" i="6"/>
  <c r="G208" i="6"/>
  <c r="F125" i="6"/>
  <c r="G125" i="6"/>
  <c r="F223" i="6"/>
  <c r="G223" i="6"/>
  <c r="G137" i="6"/>
  <c r="F137" i="6"/>
  <c r="F236" i="6"/>
  <c r="G236" i="6"/>
  <c r="F152" i="6"/>
  <c r="G152" i="6"/>
  <c r="G68" i="6"/>
  <c r="F68" i="6"/>
  <c r="F139" i="6"/>
  <c r="G139" i="6"/>
  <c r="G212" i="6"/>
  <c r="F212" i="6"/>
  <c r="F103" i="6"/>
  <c r="G103" i="6"/>
  <c r="F176" i="6"/>
  <c r="G176" i="6"/>
  <c r="G98" i="6"/>
  <c r="F98" i="6"/>
  <c r="G162" i="6"/>
  <c r="F162" i="6"/>
  <c r="F226" i="6"/>
  <c r="G226" i="6"/>
  <c r="F50" i="6"/>
  <c r="G50" i="6"/>
  <c r="F45" i="6"/>
  <c r="G45" i="6"/>
  <c r="F123" i="6"/>
  <c r="G123" i="6"/>
  <c r="G24" i="6"/>
  <c r="F24" i="6"/>
  <c r="F30" i="6"/>
  <c r="G30" i="6"/>
  <c r="G72" i="6"/>
  <c r="F72" i="6"/>
  <c r="G92" i="6"/>
  <c r="F92" i="6"/>
  <c r="F145" i="6"/>
  <c r="G145" i="6"/>
  <c r="G78" i="6"/>
  <c r="F78" i="6"/>
  <c r="G188" i="6"/>
  <c r="F188" i="6"/>
  <c r="F102" i="6"/>
  <c r="G102" i="6"/>
  <c r="G175" i="6"/>
  <c r="F175" i="6"/>
  <c r="F14" i="6"/>
  <c r="G14" i="6"/>
  <c r="F6" i="6"/>
  <c r="G6" i="6"/>
  <c r="F43" i="6"/>
  <c r="G43" i="6"/>
  <c r="F16" i="6"/>
  <c r="G16" i="6"/>
  <c r="F58" i="6"/>
  <c r="G58" i="6"/>
  <c r="F56" i="6"/>
  <c r="G56" i="6"/>
  <c r="G31" i="6"/>
  <c r="F31" i="6"/>
  <c r="G133" i="6"/>
  <c r="F133" i="6"/>
  <c r="F205" i="6"/>
  <c r="G205" i="6"/>
  <c r="G82" i="6"/>
  <c r="F82" i="6"/>
  <c r="G181" i="6"/>
  <c r="F181" i="6"/>
  <c r="G63" i="6"/>
  <c r="F63" i="6"/>
  <c r="G132" i="6"/>
  <c r="F132" i="6"/>
  <c r="F109" i="6"/>
  <c r="G109" i="6"/>
  <c r="G207" i="6"/>
  <c r="F207" i="6"/>
  <c r="G124" i="6"/>
  <c r="F124" i="6"/>
  <c r="G220" i="6"/>
  <c r="F220" i="6"/>
  <c r="F136" i="6"/>
  <c r="G136" i="6"/>
  <c r="F235" i="6"/>
  <c r="G235" i="6"/>
  <c r="G151" i="6"/>
  <c r="F151" i="6"/>
  <c r="F70" i="6"/>
  <c r="G70" i="6"/>
  <c r="G164" i="6"/>
  <c r="F164" i="6"/>
  <c r="G76" i="6"/>
  <c r="F76" i="6"/>
  <c r="G148" i="6"/>
  <c r="F148" i="6"/>
  <c r="F221" i="6"/>
  <c r="G221" i="6"/>
  <c r="F112" i="6"/>
  <c r="G112" i="6"/>
  <c r="F185" i="6"/>
  <c r="G185" i="6"/>
  <c r="G106" i="6"/>
  <c r="F106" i="6"/>
  <c r="G170" i="6"/>
  <c r="F170" i="6"/>
  <c r="F234" i="6"/>
  <c r="G234" i="6"/>
  <c r="H2" i="6"/>
  <c r="G2" i="6"/>
  <c r="J1" i="6" l="1"/>
  <c r="V4" i="1"/>
  <c r="V3" i="1"/>
</calcChain>
</file>

<file path=xl/sharedStrings.xml><?xml version="1.0" encoding="utf-8"?>
<sst xmlns="http://schemas.openxmlformats.org/spreadsheetml/2006/main" count="4033" uniqueCount="214">
  <si>
    <t>UD2</t>
  </si>
  <si>
    <t>Account</t>
  </si>
  <si>
    <t>Activity</t>
  </si>
  <si>
    <t>NoDataAsZero</t>
  </si>
  <si>
    <t>Cube</t>
  </si>
  <si>
    <t>Entity</t>
  </si>
  <si>
    <t>Parent</t>
  </si>
  <si>
    <t>Cons</t>
  </si>
  <si>
    <t>Scenario</t>
  </si>
  <si>
    <t>Time</t>
  </si>
  <si>
    <t>View</t>
  </si>
  <si>
    <t>Flow</t>
  </si>
  <si>
    <t>Origin</t>
  </si>
  <si>
    <t>IC</t>
  </si>
  <si>
    <t>UD1</t>
  </si>
  <si>
    <t>UD3</t>
  </si>
  <si>
    <t>UD4</t>
  </si>
  <si>
    <t>UD5</t>
  </si>
  <si>
    <t>UD6</t>
  </si>
  <si>
    <t>UD7</t>
  </si>
  <si>
    <t>UD8</t>
  </si>
  <si>
    <t>Technical Name</t>
  </si>
  <si>
    <t>What I'd call it</t>
  </si>
  <si>
    <t>actual/forecast/budget</t>
  </si>
  <si>
    <t>consolidation</t>
  </si>
  <si>
    <t>Company</t>
  </si>
  <si>
    <t>finreporting</t>
  </si>
  <si>
    <t>Actual</t>
  </si>
  <si>
    <t>2026M01</t>
  </si>
  <si>
    <t>Periodic</t>
  </si>
  <si>
    <t>EndBalLoad</t>
  </si>
  <si>
    <t>Top</t>
  </si>
  <si>
    <t>None</t>
  </si>
  <si>
    <t>Department</t>
  </si>
  <si>
    <t>111_170</t>
  </si>
  <si>
    <t>BegBalCalc</t>
  </si>
  <si>
    <t>FinReporting</t>
  </si>
  <si>
    <t>DSH</t>
  </si>
  <si>
    <t>USD</t>
  </si>
  <si>
    <t>S10181</t>
  </si>
  <si>
    <t>DTV_BBH</t>
  </si>
  <si>
    <t>EndBal</t>
  </si>
  <si>
    <t>2026M1</t>
  </si>
  <si>
    <t>MTD</t>
  </si>
  <si>
    <t>What Month is it?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</si>
  <si>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</si>
  <si>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</si>
  <si>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</si>
  <si>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</si>
  <si>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</si>
  <si>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</si>
  <si>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</si>
  <si>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</si>
  <si>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</si>
  <si>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</si>
  <si>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</si>
  <si>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</si>
  <si>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What Year is it?</t>
  </si>
  <si>
    <t>Data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</si>
  <si>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</si>
  <si>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</si>
  <si>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</si>
  <si>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</si>
  <si>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</si>
  <si>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</si>
  <si>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</si>
  <si>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</si>
  <si>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</si>
  <si>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</si>
  <si>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</si>
  <si>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</si>
  <si>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Use the Dropdown Menu Below</t>
  </si>
  <si>
    <t>type it in Below:</t>
  </si>
  <si>
    <t>NoDataToZero</t>
  </si>
  <si>
    <t>Month</t>
  </si>
  <si>
    <t>Year</t>
  </si>
  <si>
    <t>Spend</t>
  </si>
  <si>
    <t>example 1</t>
  </si>
  <si>
    <t>example 2</t>
  </si>
  <si>
    <t>company_department</t>
  </si>
  <si>
    <t>Facility</t>
  </si>
  <si>
    <t>Other</t>
  </si>
  <si>
    <t>String code</t>
  </si>
  <si>
    <t>SUBAAD</t>
  </si>
  <si>
    <t>not completed because of the SACADV stuff!!!</t>
  </si>
  <si>
    <t>111-170SACADV000000</t>
  </si>
  <si>
    <t>111-170SACADV000002</t>
  </si>
  <si>
    <t>111-170SACADV000001</t>
  </si>
  <si>
    <t>113-100SUBAAD</t>
  </si>
  <si>
    <t>113-101SUBAAD</t>
  </si>
  <si>
    <t>113-102SUBAAD</t>
  </si>
  <si>
    <t>113-103SUBAAD</t>
  </si>
  <si>
    <t>113-120SUBAAD</t>
  </si>
  <si>
    <t>113-125SUBAAD</t>
  </si>
  <si>
    <t>113-130SUBAAD</t>
  </si>
  <si>
    <t>113-131SUBAAD</t>
  </si>
  <si>
    <t>113-135SUBAAD</t>
  </si>
  <si>
    <t>113-115SUBAAD</t>
  </si>
  <si>
    <t>113-132SUBAAD</t>
  </si>
  <si>
    <t>111-443SUBAAD</t>
  </si>
  <si>
    <t>111-444SUBAAD</t>
  </si>
  <si>
    <t>291-307SUBAAD</t>
  </si>
  <si>
    <t>213-445SUBAAD</t>
  </si>
  <si>
    <t>213-100SUBAAD</t>
  </si>
  <si>
    <t>213-120SUBAAD</t>
  </si>
  <si>
    <t>111-449SUBAAD</t>
  </si>
  <si>
    <t>111-130SUBAAD</t>
  </si>
  <si>
    <t>213-130SUBAAD</t>
  </si>
  <si>
    <t>111-450SUBAAD</t>
  </si>
  <si>
    <t>113-104SUBAAD</t>
  </si>
  <si>
    <t>113-123SUBAAD</t>
  </si>
  <si>
    <t>900-950SUBAAD</t>
  </si>
  <si>
    <t>905-950SUBAAD</t>
  </si>
  <si>
    <t>186-520SUBAAD</t>
  </si>
  <si>
    <t>111-380SUBAAD</t>
  </si>
  <si>
    <t>290-380SUBAAD</t>
  </si>
  <si>
    <t>111-105SUBAAD</t>
  </si>
  <si>
    <t>111-304SUBAAD</t>
  </si>
  <si>
    <t>113-501SUBAAD</t>
  </si>
  <si>
    <t>113-500SUBAAD</t>
  </si>
  <si>
    <t>113-525SUBAAD</t>
  </si>
  <si>
    <t>IT-113 SUBAAD</t>
  </si>
  <si>
    <t>113-110SUBAAD</t>
  </si>
  <si>
    <t>111-175SUBAAD</t>
  </si>
  <si>
    <t>113-513SUBAAD</t>
  </si>
  <si>
    <t>113-519SUBAAD</t>
  </si>
  <si>
    <t>113-515SUBAAD</t>
  </si>
  <si>
    <t>113-510SUBAAD</t>
  </si>
  <si>
    <t>113-518SUBAAD</t>
  </si>
  <si>
    <t>111-307SUBAAD</t>
  </si>
  <si>
    <t>113-517SUBAAD</t>
  </si>
  <si>
    <t>111-350SUBAAD</t>
  </si>
  <si>
    <t>289-351SUBAAD</t>
  </si>
  <si>
    <t>111-360SUBAAD</t>
  </si>
  <si>
    <t>111-366SUBAAD</t>
  </si>
  <si>
    <t>111-370SUBAAD</t>
  </si>
  <si>
    <t>111-301SUBAAD</t>
  </si>
  <si>
    <t>111-308SUBAAD</t>
  </si>
  <si>
    <t>115-845SUBAAD</t>
  </si>
  <si>
    <t>340-170SUBAAD</t>
  </si>
  <si>
    <t>340-175SUBAAD</t>
  </si>
  <si>
    <t>323-723SUBAAD</t>
  </si>
  <si>
    <t>323-720SUBAAD</t>
  </si>
  <si>
    <t>111-302SUBAAD</t>
  </si>
  <si>
    <t>CXO-CXOSUBAAD</t>
  </si>
  <si>
    <t>IHS-IHSSUBAAD</t>
  </si>
  <si>
    <t>113-540SUBAAD</t>
  </si>
  <si>
    <t>111-595SUBAAD</t>
  </si>
  <si>
    <t>213-595SUBAAD</t>
  </si>
  <si>
    <t>909-950SUBAAD</t>
  </si>
  <si>
    <t>900-965SUBAAD</t>
  </si>
  <si>
    <t>113</t>
  </si>
  <si>
    <t>100</t>
  </si>
  <si>
    <t>101</t>
  </si>
  <si>
    <t>102</t>
  </si>
  <si>
    <t>103</t>
  </si>
  <si>
    <t>120</t>
  </si>
  <si>
    <t>125</t>
  </si>
  <si>
    <t>130</t>
  </si>
  <si>
    <t>131</t>
  </si>
  <si>
    <t>135</t>
  </si>
  <si>
    <t>115</t>
  </si>
  <si>
    <t>132</t>
  </si>
  <si>
    <t>111</t>
  </si>
  <si>
    <t>443</t>
  </si>
  <si>
    <t>444</t>
  </si>
  <si>
    <t>291</t>
  </si>
  <si>
    <t>307</t>
  </si>
  <si>
    <t>213</t>
  </si>
  <si>
    <t>445</t>
  </si>
  <si>
    <t>449</t>
  </si>
  <si>
    <t>450</t>
  </si>
  <si>
    <t>104</t>
  </si>
  <si>
    <t>123</t>
  </si>
  <si>
    <t>900</t>
  </si>
  <si>
    <t>950</t>
  </si>
  <si>
    <t>905</t>
  </si>
  <si>
    <t>170</t>
  </si>
  <si>
    <t>SACADV</t>
  </si>
  <si>
    <t>186</t>
  </si>
  <si>
    <t>290</t>
  </si>
  <si>
    <t>520</t>
  </si>
  <si>
    <t>380</t>
  </si>
  <si>
    <t>105</t>
  </si>
  <si>
    <t>304</t>
  </si>
  <si>
    <t>501</t>
  </si>
  <si>
    <t>500</t>
  </si>
  <si>
    <t>525</t>
  </si>
  <si>
    <t>289</t>
  </si>
  <si>
    <t>340</t>
  </si>
  <si>
    <t>323</t>
  </si>
  <si>
    <t>CXO</t>
  </si>
  <si>
    <t>IHS</t>
  </si>
  <si>
    <t>110</t>
  </si>
  <si>
    <t>175</t>
  </si>
  <si>
    <t>513</t>
  </si>
  <si>
    <t>519</t>
  </si>
  <si>
    <t>515</t>
  </si>
  <si>
    <t>510</t>
  </si>
  <si>
    <t>518</t>
  </si>
  <si>
    <t>517</t>
  </si>
  <si>
    <t>350</t>
  </si>
  <si>
    <t>351</t>
  </si>
  <si>
    <t>360</t>
  </si>
  <si>
    <t>366</t>
  </si>
  <si>
    <t>370</t>
  </si>
  <si>
    <t>301</t>
  </si>
  <si>
    <t>308</t>
  </si>
  <si>
    <t>845</t>
  </si>
  <si>
    <t>723</t>
  </si>
  <si>
    <t>720</t>
  </si>
  <si>
    <t>302</t>
  </si>
  <si>
    <t>540</t>
  </si>
  <si>
    <t>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</si>
</sst>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0"/>
    <numFmt numFmtId="165" formatCode="000\-000000000000000"/>
    <numFmt numFmtId="166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2" fillId="2" borderId="0" xfId="0" applyFont="1" applyFill="1" applyAlignment="1">
      <alignment horizontal="right"/>
    </xf>
    <xf numFmtId="0" fontId="3" fillId="2" borderId="0" xfId="2" applyFont="1" applyFill="1" applyAlignment="1">
      <alignment horizontal="right" vertical="center"/>
    </xf>
    <xf numFmtId="0" fontId="4" fillId="2" borderId="0" xfId="2" applyFont="1" applyFill="1" applyAlignment="1" applyProtection="1">
      <alignment horizontal="left" vertical="center" indent="1"/>
      <protection locked="0"/>
    </xf>
    <xf numFmtId="0" fontId="4" fillId="2" borderId="0" xfId="2" quotePrefix="1" applyFont="1" applyFill="1" applyAlignment="1">
      <alignment horizontal="right" vertical="center"/>
    </xf>
    <xf numFmtId="0" fontId="2" fillId="2" borderId="0" xfId="0" applyFont="1" applyFill="1"/>
    <xf numFmtId="0" fontId="4" fillId="2" borderId="0" xfId="0" applyFont="1" applyFill="1"/>
    <xf numFmtId="0" fontId="0" fillId="0" borderId="1" xfId="0" applyBorder="1"/>
    <xf numFmtId="43" fontId="0" fillId="0" borderId="0" xfId="1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0" fillId="0" borderId="0" xfId="1" applyNumberFormat="1" applyFont="1"/>
  </cellXfs>
  <cellStyles count="5">
    <cellStyle name="Comma" xfId="1" builtinId="3"/>
    <cellStyle name="Comma 2 3" xfId="4" xr:uid="{2752E66A-4F67-40AA-B7EF-E254D1B4A439}"/>
    <cellStyle name="Normal" xfId="0" builtinId="0"/>
    <cellStyle name="Normal 2" xfId="2" xr:uid="{50188739-D34B-4882-A35E-7E5CAB42D389}"/>
    <cellStyle name="Normal 2 2" xfId="3" xr:uid="{3BF04DFD-C6E8-423D-BE24-7A52253C3C26}"/>
  </cellStyles>
  <dxfs count="3"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ont>
        <b val="0"/>
        <i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37C4-8712-4B12-ABE6-1DA52A339D86}">
  <dimension ref="A1:V106"/>
  <sheetViews>
    <sheetView topLeftCell="A55" workbookViewId="0">
      <selection activeCell="N76" sqref="N76:N102"/>
    </sheetView>
  </sheetViews>
  <sheetFormatPr defaultRowHeight="14.25"/>
  <cols>
    <col min="1" max="1" width="15.625" customWidth="1"/>
  </cols>
  <sheetData>
    <row r="1" spans="1:22">
      <c r="A1" t="s">
        <v>21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</v>
      </c>
      <c r="K1" t="s">
        <v>11</v>
      </c>
      <c r="L1" t="s">
        <v>12</v>
      </c>
      <c r="M1" t="s">
        <v>13</v>
      </c>
      <c r="N1" t="s">
        <v>14</v>
      </c>
      <c r="O1" t="s">
        <v>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>
      <c r="A2" t="s">
        <v>22</v>
      </c>
      <c r="D2" t="s">
        <v>25</v>
      </c>
      <c r="F2" t="s">
        <v>24</v>
      </c>
      <c r="G2" t="s">
        <v>23</v>
      </c>
      <c r="J2" t="s">
        <v>1</v>
      </c>
      <c r="N2" t="s">
        <v>33</v>
      </c>
      <c r="O2" t="s">
        <v>79</v>
      </c>
      <c r="P2" t="s">
        <v>80</v>
      </c>
      <c r="Q2" t="s">
        <v>2</v>
      </c>
      <c r="R2" t="s">
        <v>81</v>
      </c>
    </row>
    <row r="3" spans="1:22">
      <c r="A3" t="s">
        <v>77</v>
      </c>
      <c r="B3" t="b">
        <v>1</v>
      </c>
      <c r="C3" t="s">
        <v>36</v>
      </c>
      <c r="D3">
        <v>111</v>
      </c>
      <c r="F3" t="s">
        <v>38</v>
      </c>
      <c r="G3" t="s">
        <v>27</v>
      </c>
      <c r="H3" t="s">
        <v>28</v>
      </c>
      <c r="I3" t="s">
        <v>29</v>
      </c>
      <c r="J3">
        <v>606050</v>
      </c>
      <c r="K3" t="s">
        <v>30</v>
      </c>
      <c r="L3" t="s">
        <v>31</v>
      </c>
      <c r="M3" t="s">
        <v>31</v>
      </c>
      <c r="N3">
        <v>170</v>
      </c>
      <c r="O3" t="s">
        <v>34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s="1">
        <f>_xll.OneStreamExcelAddIn.XFFunctions.XFGetCell(B3,C3,D3,E3,F3,G3,H3,I3,J3,K3,L3,M3,N3,O3,P3,Q3,R3,S3,T3,U3)</f>
        <v>50397</v>
      </c>
    </row>
    <row r="4" spans="1:22">
      <c r="A4" t="s">
        <v>78</v>
      </c>
      <c r="B4" t="b">
        <v>1</v>
      </c>
      <c r="C4" s="2" t="s">
        <v>36</v>
      </c>
      <c r="D4" s="2" t="s">
        <v>37</v>
      </c>
      <c r="E4" s="3"/>
      <c r="F4" s="2" t="s">
        <v>38</v>
      </c>
      <c r="G4" s="2" t="s">
        <v>27</v>
      </c>
      <c r="H4" s="2" t="s">
        <v>42</v>
      </c>
      <c r="I4" s="2" t="s">
        <v>43</v>
      </c>
      <c r="J4" s="4" t="s">
        <v>39</v>
      </c>
      <c r="K4" s="5" t="s">
        <v>35</v>
      </c>
      <c r="L4" s="6" t="s">
        <v>31</v>
      </c>
      <c r="M4" s="6" t="s">
        <v>31</v>
      </c>
      <c r="N4" s="6" t="s">
        <v>31</v>
      </c>
      <c r="O4" s="7" t="s">
        <v>40</v>
      </c>
      <c r="P4" s="6" t="s">
        <v>31</v>
      </c>
      <c r="Q4" s="6" t="s">
        <v>31</v>
      </c>
      <c r="R4" s="6" t="s">
        <v>31</v>
      </c>
      <c r="S4" s="6" t="s">
        <v>31</v>
      </c>
      <c r="T4" s="7" t="s">
        <v>31</v>
      </c>
      <c r="U4" s="6" t="s">
        <v>32</v>
      </c>
      <c r="V4" s="1">
        <f>_xll.OneStreamExcelAddIn.XFFunctions.XFGetCell(B4,C4,D4,E4,F4,G4,H4,I4,J4,K4,L4,M4,N4,O4,P4,Q4,R4,S4,T4,U4)</f>
        <v>5021607</v>
      </c>
    </row>
    <row r="13" spans="1:22">
      <c r="B13" t="b">
        <v>1</v>
      </c>
      <c r="C13" t="s">
        <v>26</v>
      </c>
      <c r="D13">
        <v>113</v>
      </c>
      <c r="F13" t="s">
        <v>38</v>
      </c>
      <c r="G13" t="s">
        <v>27</v>
      </c>
      <c r="H13" t="str">
        <f>INDEX('User Inputs'!$G$3:$G$14,MATCH(1,'User Inputs'!$J$3:$J$14,0))</f>
        <v>2026M05</v>
      </c>
      <c r="I13" t="s">
        <v>29</v>
      </c>
      <c r="J13" t="s">
        <v>83</v>
      </c>
      <c r="K13" t="s">
        <v>41</v>
      </c>
      <c r="L13" t="s">
        <v>31</v>
      </c>
      <c r="M13" t="s">
        <v>32</v>
      </c>
      <c r="N13">
        <v>100</v>
      </c>
      <c r="O13" t="str">
        <f t="shared" ref="O13" si="0">_xlfn.CONCAT(D13,"_",N13)</f>
        <v>113_100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>
        <f>_xll.OneStreamExcelAddIn.XFFunctions.XFGetCell(B13,C13,D13,E13,F13,G13,H13,I13,J13,K13,L13,M13,N13,O13,P13,Q13,R13,S13,T13,U13)</f>
        <v>171948.07</v>
      </c>
    </row>
    <row r="24" spans="2:2">
      <c r="B24" t="s">
        <v>84</v>
      </c>
    </row>
    <row r="38" spans="1:14">
      <c r="A38" t="s">
        <v>88</v>
      </c>
      <c r="D38" t="str">
        <f>LEFT(A38,3)</f>
        <v>113</v>
      </c>
      <c r="N38" t="str">
        <f>MID(A38,5,3)</f>
        <v>100</v>
      </c>
    </row>
    <row r="39" spans="1:14">
      <c r="A39" t="s">
        <v>89</v>
      </c>
      <c r="D39" t="str">
        <f t="shared" ref="D39:D102" si="1">LEFT(A39,3)</f>
        <v>113</v>
      </c>
      <c r="N39" t="str">
        <f t="shared" ref="N39:N102" si="2">MID(A39,5,3)</f>
        <v>101</v>
      </c>
    </row>
    <row r="40" spans="1:14">
      <c r="A40" t="s">
        <v>90</v>
      </c>
      <c r="D40" t="str">
        <f t="shared" si="1"/>
        <v>113</v>
      </c>
      <c r="N40" t="str">
        <f t="shared" si="2"/>
        <v>102</v>
      </c>
    </row>
    <row r="41" spans="1:14">
      <c r="A41" t="s">
        <v>91</v>
      </c>
      <c r="D41" t="str">
        <f t="shared" si="1"/>
        <v>113</v>
      </c>
      <c r="N41" t="str">
        <f t="shared" si="2"/>
        <v>103</v>
      </c>
    </row>
    <row r="42" spans="1:14">
      <c r="A42" t="s">
        <v>92</v>
      </c>
      <c r="D42" t="str">
        <f t="shared" si="1"/>
        <v>113</v>
      </c>
      <c r="N42" t="str">
        <f t="shared" si="2"/>
        <v>120</v>
      </c>
    </row>
    <row r="43" spans="1:14">
      <c r="A43" t="s">
        <v>93</v>
      </c>
      <c r="D43" t="str">
        <f t="shared" si="1"/>
        <v>113</v>
      </c>
      <c r="N43" t="str">
        <f t="shared" si="2"/>
        <v>125</v>
      </c>
    </row>
    <row r="44" spans="1:14">
      <c r="A44" t="s">
        <v>94</v>
      </c>
      <c r="D44" t="str">
        <f t="shared" si="1"/>
        <v>113</v>
      </c>
      <c r="N44" t="str">
        <f t="shared" si="2"/>
        <v>130</v>
      </c>
    </row>
    <row r="45" spans="1:14">
      <c r="A45" t="s">
        <v>95</v>
      </c>
      <c r="D45" t="str">
        <f t="shared" si="1"/>
        <v>113</v>
      </c>
      <c r="N45" t="str">
        <f t="shared" si="2"/>
        <v>131</v>
      </c>
    </row>
    <row r="46" spans="1:14">
      <c r="A46" t="s">
        <v>96</v>
      </c>
      <c r="D46" t="str">
        <f t="shared" si="1"/>
        <v>113</v>
      </c>
      <c r="N46" t="str">
        <f t="shared" si="2"/>
        <v>135</v>
      </c>
    </row>
    <row r="47" spans="1:14">
      <c r="A47" t="s">
        <v>97</v>
      </c>
      <c r="D47" t="str">
        <f t="shared" si="1"/>
        <v>113</v>
      </c>
      <c r="N47" t="str">
        <f t="shared" si="2"/>
        <v>115</v>
      </c>
    </row>
    <row r="48" spans="1:14">
      <c r="A48" t="s">
        <v>98</v>
      </c>
      <c r="D48" t="str">
        <f t="shared" si="1"/>
        <v>113</v>
      </c>
      <c r="N48" t="str">
        <f t="shared" si="2"/>
        <v>132</v>
      </c>
    </row>
    <row r="49" spans="1:14">
      <c r="A49" t="s">
        <v>99</v>
      </c>
      <c r="D49" t="str">
        <f t="shared" si="1"/>
        <v>111</v>
      </c>
      <c r="N49" t="str">
        <f t="shared" si="2"/>
        <v>443</v>
      </c>
    </row>
    <row r="50" spans="1:14">
      <c r="A50" t="s">
        <v>100</v>
      </c>
      <c r="D50" t="str">
        <f t="shared" si="1"/>
        <v>111</v>
      </c>
      <c r="N50" t="str">
        <f t="shared" si="2"/>
        <v>444</v>
      </c>
    </row>
    <row r="51" spans="1:14">
      <c r="A51" t="s">
        <v>101</v>
      </c>
      <c r="D51" t="str">
        <f t="shared" si="1"/>
        <v>291</v>
      </c>
      <c r="N51" t="str">
        <f t="shared" si="2"/>
        <v>307</v>
      </c>
    </row>
    <row r="52" spans="1:14">
      <c r="A52" t="s">
        <v>102</v>
      </c>
      <c r="D52" t="str">
        <f t="shared" si="1"/>
        <v>213</v>
      </c>
      <c r="N52" t="str">
        <f t="shared" si="2"/>
        <v>445</v>
      </c>
    </row>
    <row r="53" spans="1:14">
      <c r="A53" t="s">
        <v>103</v>
      </c>
      <c r="D53" t="str">
        <f t="shared" si="1"/>
        <v>213</v>
      </c>
      <c r="N53" t="str">
        <f t="shared" si="2"/>
        <v>100</v>
      </c>
    </row>
    <row r="54" spans="1:14">
      <c r="A54" t="s">
        <v>104</v>
      </c>
      <c r="D54" t="str">
        <f t="shared" si="1"/>
        <v>213</v>
      </c>
      <c r="N54" t="str">
        <f t="shared" si="2"/>
        <v>120</v>
      </c>
    </row>
    <row r="55" spans="1:14">
      <c r="A55" t="s">
        <v>105</v>
      </c>
      <c r="D55" t="str">
        <f t="shared" si="1"/>
        <v>111</v>
      </c>
      <c r="N55" t="str">
        <f t="shared" si="2"/>
        <v>449</v>
      </c>
    </row>
    <row r="56" spans="1:14">
      <c r="A56" t="s">
        <v>106</v>
      </c>
      <c r="D56" t="str">
        <f t="shared" si="1"/>
        <v>111</v>
      </c>
      <c r="N56" t="str">
        <f t="shared" si="2"/>
        <v>130</v>
      </c>
    </row>
    <row r="57" spans="1:14">
      <c r="A57" t="s">
        <v>107</v>
      </c>
      <c r="D57" t="str">
        <f t="shared" si="1"/>
        <v>213</v>
      </c>
      <c r="N57" t="str">
        <f t="shared" si="2"/>
        <v>130</v>
      </c>
    </row>
    <row r="58" spans="1:14">
      <c r="A58" t="s">
        <v>108</v>
      </c>
      <c r="D58" t="str">
        <f t="shared" si="1"/>
        <v>111</v>
      </c>
      <c r="N58" t="str">
        <f t="shared" si="2"/>
        <v>450</v>
      </c>
    </row>
    <row r="59" spans="1:14">
      <c r="A59" t="s">
        <v>109</v>
      </c>
      <c r="D59" t="str">
        <f t="shared" si="1"/>
        <v>113</v>
      </c>
      <c r="N59" t="str">
        <f t="shared" si="2"/>
        <v>104</v>
      </c>
    </row>
    <row r="60" spans="1:14">
      <c r="A60" t="s">
        <v>110</v>
      </c>
      <c r="D60" t="str">
        <f t="shared" si="1"/>
        <v>113</v>
      </c>
      <c r="N60" t="str">
        <f t="shared" si="2"/>
        <v>123</v>
      </c>
    </row>
    <row r="61" spans="1:14">
      <c r="A61" t="s">
        <v>111</v>
      </c>
      <c r="D61" t="str">
        <f t="shared" si="1"/>
        <v>900</v>
      </c>
      <c r="N61" t="str">
        <f t="shared" si="2"/>
        <v>950</v>
      </c>
    </row>
    <row r="62" spans="1:14">
      <c r="A62" t="s">
        <v>112</v>
      </c>
      <c r="D62" t="str">
        <f t="shared" si="1"/>
        <v>905</v>
      </c>
      <c r="N62" t="str">
        <f t="shared" si="2"/>
        <v>950</v>
      </c>
    </row>
    <row r="63" spans="1:14">
      <c r="A63" t="s">
        <v>85</v>
      </c>
      <c r="D63" t="str">
        <f t="shared" si="1"/>
        <v>111</v>
      </c>
      <c r="N63" t="str">
        <f t="shared" si="2"/>
        <v>170</v>
      </c>
    </row>
    <row r="64" spans="1:14">
      <c r="D64" t="str">
        <f t="shared" si="1"/>
        <v/>
      </c>
      <c r="N64" t="str">
        <f t="shared" si="2"/>
        <v/>
      </c>
    </row>
    <row r="65" spans="1:14">
      <c r="A65" t="s">
        <v>113</v>
      </c>
      <c r="D65" t="str">
        <f t="shared" si="1"/>
        <v>186</v>
      </c>
      <c r="N65" t="str">
        <f t="shared" si="2"/>
        <v>520</v>
      </c>
    </row>
    <row r="66" spans="1:14">
      <c r="A66" t="s">
        <v>114</v>
      </c>
      <c r="D66" t="str">
        <f t="shared" si="1"/>
        <v>111</v>
      </c>
      <c r="N66" t="str">
        <f t="shared" si="2"/>
        <v>380</v>
      </c>
    </row>
    <row r="67" spans="1:14">
      <c r="A67" t="s">
        <v>115</v>
      </c>
      <c r="D67" t="str">
        <f t="shared" si="1"/>
        <v>290</v>
      </c>
      <c r="N67" t="str">
        <f t="shared" si="2"/>
        <v>380</v>
      </c>
    </row>
    <row r="68" spans="1:14">
      <c r="A68" t="s">
        <v>116</v>
      </c>
      <c r="D68" t="str">
        <f t="shared" si="1"/>
        <v>111</v>
      </c>
      <c r="N68" t="str">
        <f t="shared" si="2"/>
        <v>105</v>
      </c>
    </row>
    <row r="69" spans="1:14">
      <c r="A69" t="s">
        <v>117</v>
      </c>
      <c r="D69" t="str">
        <f t="shared" si="1"/>
        <v>111</v>
      </c>
      <c r="N69" t="str">
        <f t="shared" si="2"/>
        <v>304</v>
      </c>
    </row>
    <row r="70" spans="1:14">
      <c r="A70" t="s">
        <v>118</v>
      </c>
      <c r="D70" t="str">
        <f t="shared" si="1"/>
        <v>113</v>
      </c>
      <c r="N70" t="str">
        <f t="shared" si="2"/>
        <v>501</v>
      </c>
    </row>
    <row r="71" spans="1:14">
      <c r="A71" t="s">
        <v>119</v>
      </c>
      <c r="D71" t="str">
        <f t="shared" si="1"/>
        <v>113</v>
      </c>
      <c r="N71" t="str">
        <f t="shared" si="2"/>
        <v>500</v>
      </c>
    </row>
    <row r="72" spans="1:14">
      <c r="A72" t="s">
        <v>120</v>
      </c>
      <c r="D72" t="str">
        <f t="shared" si="1"/>
        <v>113</v>
      </c>
      <c r="N72" t="str">
        <f t="shared" si="2"/>
        <v>525</v>
      </c>
    </row>
    <row r="73" spans="1:14">
      <c r="A73" t="s">
        <v>121</v>
      </c>
      <c r="D73" t="str">
        <f t="shared" si="1"/>
        <v>IT-</v>
      </c>
      <c r="N73" t="str">
        <f t="shared" si="2"/>
        <v xml:space="preserve">13 </v>
      </c>
    </row>
    <row r="74" spans="1:14">
      <c r="A74" t="s">
        <v>86</v>
      </c>
      <c r="D74" t="str">
        <f t="shared" si="1"/>
        <v>111</v>
      </c>
      <c r="N74" t="str">
        <f t="shared" si="2"/>
        <v>170</v>
      </c>
    </row>
    <row r="75" spans="1:14">
      <c r="D75" t="str">
        <f t="shared" si="1"/>
        <v/>
      </c>
      <c r="N75" t="str">
        <f t="shared" si="2"/>
        <v/>
      </c>
    </row>
    <row r="76" spans="1:14">
      <c r="A76" t="s">
        <v>122</v>
      </c>
      <c r="D76" t="str">
        <f t="shared" si="1"/>
        <v>113</v>
      </c>
      <c r="N76" t="str">
        <f t="shared" si="2"/>
        <v>110</v>
      </c>
    </row>
    <row r="77" spans="1:14">
      <c r="A77" t="s">
        <v>123</v>
      </c>
      <c r="D77" t="str">
        <f t="shared" si="1"/>
        <v>111</v>
      </c>
      <c r="N77" t="str">
        <f t="shared" si="2"/>
        <v>175</v>
      </c>
    </row>
    <row r="78" spans="1:14">
      <c r="A78" t="s">
        <v>124</v>
      </c>
      <c r="D78" t="str">
        <f t="shared" si="1"/>
        <v>113</v>
      </c>
      <c r="N78" t="str">
        <f t="shared" si="2"/>
        <v>513</v>
      </c>
    </row>
    <row r="79" spans="1:14">
      <c r="A79" t="s">
        <v>125</v>
      </c>
      <c r="D79" t="str">
        <f t="shared" si="1"/>
        <v>113</v>
      </c>
      <c r="N79" t="str">
        <f t="shared" si="2"/>
        <v>519</v>
      </c>
    </row>
    <row r="80" spans="1:14">
      <c r="A80" t="s">
        <v>126</v>
      </c>
      <c r="D80" t="str">
        <f t="shared" si="1"/>
        <v>113</v>
      </c>
      <c r="N80" t="str">
        <f t="shared" si="2"/>
        <v>515</v>
      </c>
    </row>
    <row r="81" spans="1:14">
      <c r="A81" t="s">
        <v>127</v>
      </c>
      <c r="D81" t="str">
        <f t="shared" si="1"/>
        <v>113</v>
      </c>
      <c r="N81" t="str">
        <f t="shared" si="2"/>
        <v>510</v>
      </c>
    </row>
    <row r="82" spans="1:14">
      <c r="A82" t="s">
        <v>128</v>
      </c>
      <c r="D82" t="str">
        <f t="shared" si="1"/>
        <v>113</v>
      </c>
      <c r="N82" t="str">
        <f t="shared" si="2"/>
        <v>518</v>
      </c>
    </row>
    <row r="83" spans="1:14">
      <c r="A83" t="s">
        <v>129</v>
      </c>
      <c r="D83" t="str">
        <f t="shared" si="1"/>
        <v>111</v>
      </c>
      <c r="N83" t="str">
        <f t="shared" si="2"/>
        <v>307</v>
      </c>
    </row>
    <row r="84" spans="1:14">
      <c r="A84" t="s">
        <v>130</v>
      </c>
      <c r="D84" t="str">
        <f t="shared" si="1"/>
        <v>113</v>
      </c>
      <c r="N84" t="str">
        <f t="shared" si="2"/>
        <v>517</v>
      </c>
    </row>
    <row r="85" spans="1:14">
      <c r="A85" t="s">
        <v>131</v>
      </c>
      <c r="D85" t="str">
        <f t="shared" si="1"/>
        <v>111</v>
      </c>
      <c r="N85" t="str">
        <f t="shared" si="2"/>
        <v>350</v>
      </c>
    </row>
    <row r="86" spans="1:14">
      <c r="A86" t="s">
        <v>132</v>
      </c>
      <c r="D86" t="str">
        <f t="shared" si="1"/>
        <v>289</v>
      </c>
      <c r="N86" t="str">
        <f t="shared" si="2"/>
        <v>351</v>
      </c>
    </row>
    <row r="87" spans="1:14">
      <c r="A87" t="s">
        <v>133</v>
      </c>
      <c r="D87" t="str">
        <f t="shared" si="1"/>
        <v>111</v>
      </c>
      <c r="N87" t="str">
        <f t="shared" si="2"/>
        <v>360</v>
      </c>
    </row>
    <row r="88" spans="1:14">
      <c r="A88" t="s">
        <v>134</v>
      </c>
      <c r="D88" t="str">
        <f t="shared" si="1"/>
        <v>111</v>
      </c>
      <c r="N88" t="str">
        <f t="shared" si="2"/>
        <v>366</v>
      </c>
    </row>
    <row r="89" spans="1:14">
      <c r="A89" t="s">
        <v>135</v>
      </c>
      <c r="D89" t="str">
        <f t="shared" si="1"/>
        <v>111</v>
      </c>
      <c r="N89" t="str">
        <f t="shared" si="2"/>
        <v>370</v>
      </c>
    </row>
    <row r="90" spans="1:14">
      <c r="A90" t="s">
        <v>136</v>
      </c>
      <c r="D90" t="str">
        <f t="shared" si="1"/>
        <v>111</v>
      </c>
      <c r="N90" t="str">
        <f t="shared" si="2"/>
        <v>301</v>
      </c>
    </row>
    <row r="91" spans="1:14">
      <c r="A91" t="s">
        <v>137</v>
      </c>
      <c r="D91" t="str">
        <f t="shared" si="1"/>
        <v>111</v>
      </c>
      <c r="N91" t="str">
        <f t="shared" si="2"/>
        <v>308</v>
      </c>
    </row>
    <row r="92" spans="1:14">
      <c r="A92" t="s">
        <v>138</v>
      </c>
      <c r="D92" t="str">
        <f t="shared" si="1"/>
        <v>115</v>
      </c>
      <c r="N92" t="str">
        <f t="shared" si="2"/>
        <v>845</v>
      </c>
    </row>
    <row r="93" spans="1:14">
      <c r="A93" t="s">
        <v>139</v>
      </c>
      <c r="D93" t="str">
        <f t="shared" si="1"/>
        <v>340</v>
      </c>
      <c r="N93" t="str">
        <f t="shared" si="2"/>
        <v>170</v>
      </c>
    </row>
    <row r="94" spans="1:14">
      <c r="A94" t="s">
        <v>140</v>
      </c>
      <c r="D94" t="str">
        <f t="shared" si="1"/>
        <v>340</v>
      </c>
      <c r="N94" t="str">
        <f t="shared" si="2"/>
        <v>175</v>
      </c>
    </row>
    <row r="95" spans="1:14">
      <c r="A95" t="s">
        <v>141</v>
      </c>
      <c r="D95" t="str">
        <f t="shared" si="1"/>
        <v>323</v>
      </c>
      <c r="N95" t="str">
        <f t="shared" si="2"/>
        <v>723</v>
      </c>
    </row>
    <row r="96" spans="1:14">
      <c r="A96" t="s">
        <v>142</v>
      </c>
      <c r="D96" t="str">
        <f t="shared" si="1"/>
        <v>323</v>
      </c>
      <c r="N96" t="str">
        <f t="shared" si="2"/>
        <v>720</v>
      </c>
    </row>
    <row r="97" spans="1:14">
      <c r="A97" t="s">
        <v>143</v>
      </c>
      <c r="D97" t="str">
        <f t="shared" si="1"/>
        <v>111</v>
      </c>
      <c r="N97" t="str">
        <f t="shared" si="2"/>
        <v>302</v>
      </c>
    </row>
    <row r="98" spans="1:14">
      <c r="A98" t="s">
        <v>144</v>
      </c>
      <c r="D98" t="str">
        <f t="shared" si="1"/>
        <v>CXO</v>
      </c>
      <c r="N98" t="str">
        <f t="shared" si="2"/>
        <v>CXO</v>
      </c>
    </row>
    <row r="99" spans="1:14">
      <c r="A99" t="s">
        <v>145</v>
      </c>
      <c r="D99" t="str">
        <f t="shared" si="1"/>
        <v>IHS</v>
      </c>
      <c r="N99" t="str">
        <f t="shared" si="2"/>
        <v>IHS</v>
      </c>
    </row>
    <row r="100" spans="1:14">
      <c r="A100" t="s">
        <v>146</v>
      </c>
      <c r="D100" t="str">
        <f t="shared" si="1"/>
        <v>113</v>
      </c>
      <c r="N100" t="str">
        <f t="shared" si="2"/>
        <v>540</v>
      </c>
    </row>
    <row r="101" spans="1:14">
      <c r="A101" t="s">
        <v>147</v>
      </c>
      <c r="D101" t="str">
        <f t="shared" si="1"/>
        <v>111</v>
      </c>
      <c r="N101" t="str">
        <f t="shared" si="2"/>
        <v>595</v>
      </c>
    </row>
    <row r="102" spans="1:14">
      <c r="A102" t="s">
        <v>148</v>
      </c>
      <c r="D102" t="str">
        <f t="shared" si="1"/>
        <v>213</v>
      </c>
      <c r="N102" t="str">
        <f t="shared" si="2"/>
        <v>595</v>
      </c>
    </row>
    <row r="103" spans="1:14">
      <c r="D103" t="str">
        <f t="shared" ref="D103:D105" si="3">LEFT(A103,3)</f>
        <v/>
      </c>
      <c r="N103" t="str">
        <f t="shared" ref="N103:N106" si="4">MID(A103,5,3)</f>
        <v/>
      </c>
    </row>
    <row r="104" spans="1:14">
      <c r="A104" t="s">
        <v>149</v>
      </c>
      <c r="D104" t="str">
        <f t="shared" si="3"/>
        <v>909</v>
      </c>
      <c r="N104" t="str">
        <f t="shared" si="4"/>
        <v>950</v>
      </c>
    </row>
    <row r="105" spans="1:14">
      <c r="A105" t="s">
        <v>150</v>
      </c>
      <c r="D105" t="str">
        <f t="shared" si="3"/>
        <v>900</v>
      </c>
      <c r="N105" t="str">
        <f t="shared" si="4"/>
        <v>965</v>
      </c>
    </row>
    <row r="106" spans="1:14">
      <c r="A106" t="s">
        <v>87</v>
      </c>
    </row>
  </sheetData>
  <conditionalFormatting sqref="C4:U4">
    <cfRule type="expression" dxfId="2" priority="1">
      <formula>ISNUMBER(SEARCH(".xl", _xlfn.FORMULATEXT(C4)))</formula>
    </cfRule>
    <cfRule type="containsText" dxfId="1" priority="2" operator="containsText" text="FALSE">
      <formula>NOT(ISERROR(SEARCH("FALSE",C4)))</formula>
    </cfRule>
    <cfRule type="containsText" dxfId="0" priority="3" operator="containsText" text="TRUE">
      <formula>NOT(ISERROR(SEARCH("TRUE",C4)))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79E6-29C4-4725-8206-A140DE2E37F1}">
  <dimension ref="B2:J14"/>
  <sheetViews>
    <sheetView workbookViewId="0">
      <selection activeCell="B4" sqref="B4"/>
    </sheetView>
  </sheetViews>
  <sheetFormatPr defaultRowHeight="14.25"/>
  <sheetData>
    <row r="2" spans="2:10">
      <c r="B2" t="s">
        <v>44</v>
      </c>
    </row>
    <row r="3" spans="2:10">
      <c r="B3" t="s">
        <v>71</v>
      </c>
      <c r="G3" t="str">
        <f>_xlfn.CONCAT($B$8,"M",H3)</f>
        <v>2026M01</v>
      </c>
      <c r="H3" s="10" t="s">
        <v>59</v>
      </c>
      <c r="I3" t="s">
        <v>45</v>
      </c>
      <c r="J3">
        <f>IF($B$4=I3,1,0)</f>
        <v>0</v>
      </c>
    </row>
    <row r="4" spans="2:10">
      <c r="B4" t="s">
        <v>49</v>
      </c>
      <c r="G4" t="str">
        <f t="shared" ref="G4:G14" si="0">_xlfn.CONCAT($B$8,"M",H4)</f>
        <v>2026M02</v>
      </c>
      <c r="H4" s="10" t="s">
        <v>60</v>
      </c>
      <c r="I4" t="s">
        <v>46</v>
      </c>
      <c r="J4">
        <f t="shared" ref="J4:J14" si="1">IF($B$4=I4,1,0)</f>
        <v>0</v>
      </c>
    </row>
    <row r="5" spans="2:10">
      <c r="G5" t="str">
        <f t="shared" si="0"/>
        <v>2026M03</v>
      </c>
      <c r="H5" s="10" t="s">
        <v>61</v>
      </c>
      <c r="I5" t="s">
        <v>47</v>
      </c>
      <c r="J5">
        <f t="shared" si="1"/>
        <v>0</v>
      </c>
    </row>
    <row r="6" spans="2:10">
      <c r="B6" t="s">
        <v>57</v>
      </c>
      <c r="G6" t="str">
        <f t="shared" si="0"/>
        <v>2026M04</v>
      </c>
      <c r="H6" s="10" t="s">
        <v>62</v>
      </c>
      <c r="I6" t="s">
        <v>48</v>
      </c>
      <c r="J6">
        <f t="shared" si="1"/>
        <v>0</v>
      </c>
    </row>
    <row r="7" spans="2:10">
      <c r="B7" t="s">
        <v>72</v>
      </c>
      <c r="G7" t="str">
        <f t="shared" si="0"/>
        <v>2026M05</v>
      </c>
      <c r="H7" s="10" t="s">
        <v>63</v>
      </c>
      <c r="I7" t="s">
        <v>49</v>
      </c>
      <c r="J7">
        <f t="shared" si="1"/>
        <v>1</v>
      </c>
    </row>
    <row r="8" spans="2:10">
      <c r="B8" s="8">
        <v>2026</v>
      </c>
      <c r="G8" t="str">
        <f t="shared" si="0"/>
        <v>2026M06</v>
      </c>
      <c r="H8" s="10" t="s">
        <v>64</v>
      </c>
      <c r="I8" t="s">
        <v>50</v>
      </c>
      <c r="J8">
        <f t="shared" si="1"/>
        <v>0</v>
      </c>
    </row>
    <row r="9" spans="2:10">
      <c r="G9" t="str">
        <f t="shared" si="0"/>
        <v>2026M07</v>
      </c>
      <c r="H9" s="10" t="s">
        <v>65</v>
      </c>
      <c r="I9" t="s">
        <v>51</v>
      </c>
      <c r="J9">
        <f t="shared" si="1"/>
        <v>0</v>
      </c>
    </row>
    <row r="10" spans="2:10">
      <c r="G10" t="str">
        <f t="shared" si="0"/>
        <v>2026M08</v>
      </c>
      <c r="H10" s="10" t="s">
        <v>66</v>
      </c>
      <c r="I10" t="s">
        <v>52</v>
      </c>
      <c r="J10">
        <f t="shared" si="1"/>
        <v>0</v>
      </c>
    </row>
    <row r="11" spans="2:10">
      <c r="G11" t="str">
        <f t="shared" si="0"/>
        <v>2026M09</v>
      </c>
      <c r="H11" s="10" t="s">
        <v>67</v>
      </c>
      <c r="I11" t="s">
        <v>53</v>
      </c>
      <c r="J11">
        <f t="shared" si="1"/>
        <v>0</v>
      </c>
    </row>
    <row r="12" spans="2:10">
      <c r="G12" t="str">
        <f t="shared" si="0"/>
        <v>2026M10</v>
      </c>
      <c r="H12" s="10" t="s">
        <v>68</v>
      </c>
      <c r="I12" t="s">
        <v>54</v>
      </c>
      <c r="J12">
        <f t="shared" si="1"/>
        <v>0</v>
      </c>
    </row>
    <row r="13" spans="2:10">
      <c r="G13" t="str">
        <f t="shared" si="0"/>
        <v>2026M11</v>
      </c>
      <c r="H13" s="10" t="s">
        <v>69</v>
      </c>
      <c r="I13" t="s">
        <v>55</v>
      </c>
      <c r="J13">
        <f t="shared" si="1"/>
        <v>0</v>
      </c>
    </row>
    <row r="14" spans="2:10">
      <c r="G14" t="str">
        <f t="shared" si="0"/>
        <v>2026M12</v>
      </c>
      <c r="H14" s="10" t="s">
        <v>70</v>
      </c>
      <c r="I14" t="s">
        <v>56</v>
      </c>
      <c r="J14">
        <f t="shared" si="1"/>
        <v>0</v>
      </c>
    </row>
  </sheetData>
  <dataValidations count="1">
    <dataValidation type="list" allowBlank="1" showInputMessage="1" showErrorMessage="1" sqref="B4" xr:uid="{D7F51FE9-2FFA-40BD-A889-C1ADA47ED85C}">
      <formula1>$I$3:$I$14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1A4C-127C-4EF9-9801-A1E1DDD532CD}">
  <dimension ref="A1:U299"/>
  <sheetViews>
    <sheetView tabSelected="1" topLeftCell="A231" workbookViewId="0">
      <selection activeCell="J257" sqref="J257"/>
    </sheetView>
  </sheetViews>
  <sheetFormatPr defaultRowHeight="14.25"/>
  <cols>
    <col min="1" max="1" width="12.75" bestFit="1" customWidth="1"/>
    <col min="2" max="2" width="9.875" bestFit="1" customWidth="1"/>
    <col min="21" max="21" width="16.25" customWidth="1"/>
  </cols>
  <sheetData>
    <row r="1" spans="1:21">
      <c r="A1" t="s">
        <v>73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</v>
      </c>
      <c r="J1" t="s">
        <v>11</v>
      </c>
      <c r="K1" t="s">
        <v>12</v>
      </c>
      <c r="L1" t="s">
        <v>13</v>
      </c>
      <c r="M1" t="s">
        <v>14</v>
      </c>
      <c r="N1" t="s">
        <v>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58</v>
      </c>
    </row>
    <row r="2" spans="1:21">
      <c r="A2" t="b">
        <v>1</v>
      </c>
      <c r="B2" t="s">
        <v>26</v>
      </c>
      <c r="C2">
        <v>111</v>
      </c>
      <c r="E2" t="s">
        <v>38</v>
      </c>
      <c r="F2" t="s">
        <v>27</v>
      </c>
      <c r="G2" t="str">
        <f>INDEX('User Inputs'!$G$3:$G$14,MATCH(1,'User Inputs'!$J$3:$J$14,0))</f>
        <v>2026M05</v>
      </c>
      <c r="H2" t="s">
        <v>29</v>
      </c>
      <c r="I2">
        <v>611000</v>
      </c>
      <c r="J2" t="s">
        <v>41</v>
      </c>
      <c r="K2" t="s">
        <v>31</v>
      </c>
      <c r="L2" t="s">
        <v>32</v>
      </c>
      <c r="M2">
        <v>170</v>
      </c>
      <c r="N2" t="str">
        <f>_xlfn.CONCAT(C2,"_",M2)</f>
        <v>111_170</v>
      </c>
      <c r="O2" t="s">
        <v>31</v>
      </c>
      <c r="P2">
        <v>330130</v>
      </c>
      <c r="Q2" t="s">
        <v>31</v>
      </c>
      <c r="R2" t="s">
        <v>31</v>
      </c>
      <c r="S2" t="s">
        <v>31</v>
      </c>
      <c r="T2" t="s">
        <v>31</v>
      </c>
      <c r="U2">
        <f>_xll.OneStreamExcelAddIn.XFFunctions.XFGetCell(A2,B2,C2,D2,E2,F2,G2,H2,I2,J2,K2,L2,M2,N2,O2,P2,Q2,R2,S2,T2)</f>
        <v>0</v>
      </c>
    </row>
    <row r="3" spans="1:21">
      <c r="A3" t="b">
        <v>1</v>
      </c>
      <c r="B3" t="s">
        <v>26</v>
      </c>
      <c r="C3">
        <v>111</v>
      </c>
      <c r="E3" t="s">
        <v>38</v>
      </c>
      <c r="F3" t="s">
        <v>27</v>
      </c>
      <c r="G3" t="str">
        <f>INDEX('User Inputs'!$G$3:$G$14,MATCH(1,'User Inputs'!$J$3:$J$14,0))</f>
        <v>2026M05</v>
      </c>
      <c r="H3" t="s">
        <v>29</v>
      </c>
      <c r="I3">
        <v>611000</v>
      </c>
      <c r="J3" t="s">
        <v>41</v>
      </c>
      <c r="K3" t="s">
        <v>31</v>
      </c>
      <c r="L3" t="s">
        <v>32</v>
      </c>
      <c r="M3">
        <v>170</v>
      </c>
      <c r="N3" t="str">
        <f t="shared" ref="N3:N66" si="0">_xlfn.CONCAT(C3,"_",M3)</f>
        <v>111_170</v>
      </c>
      <c r="O3" t="s">
        <v>31</v>
      </c>
      <c r="P3">
        <v>330160</v>
      </c>
      <c r="Q3" t="s">
        <v>31</v>
      </c>
      <c r="R3" t="s">
        <v>31</v>
      </c>
      <c r="S3" t="s">
        <v>31</v>
      </c>
      <c r="T3" t="s">
        <v>31</v>
      </c>
      <c r="U3">
        <f>_xll.OneStreamExcelAddIn.XFFunctions.XFGetCell(A3,B3,C3,D3,E3,F3,G3,H3,I3,J3,K3,L3,M3,N3,O3,P3,Q3,R3,S3,T3)</f>
        <v>0</v>
      </c>
    </row>
    <row r="4" spans="1:21">
      <c r="A4" t="b">
        <v>1</v>
      </c>
      <c r="B4" t="s">
        <v>26</v>
      </c>
      <c r="C4">
        <v>111</v>
      </c>
      <c r="E4" t="s">
        <v>38</v>
      </c>
      <c r="F4" t="s">
        <v>27</v>
      </c>
      <c r="G4" t="str">
        <f>INDEX('User Inputs'!$G$3:$G$14,MATCH(1,'User Inputs'!$J$3:$J$14,0))</f>
        <v>2026M05</v>
      </c>
      <c r="H4" t="s">
        <v>29</v>
      </c>
      <c r="I4">
        <v>611000</v>
      </c>
      <c r="J4" t="s">
        <v>41</v>
      </c>
      <c r="K4" t="s">
        <v>31</v>
      </c>
      <c r="L4" t="s">
        <v>32</v>
      </c>
      <c r="M4">
        <v>170</v>
      </c>
      <c r="N4" t="str">
        <f t="shared" si="0"/>
        <v>111_170</v>
      </c>
      <c r="O4" t="s">
        <v>31</v>
      </c>
      <c r="P4">
        <v>330170</v>
      </c>
      <c r="Q4" t="s">
        <v>31</v>
      </c>
      <c r="R4" t="s">
        <v>31</v>
      </c>
      <c r="S4" t="s">
        <v>31</v>
      </c>
      <c r="T4" t="s">
        <v>31</v>
      </c>
      <c r="U4">
        <f>_xll.OneStreamExcelAddIn.XFFunctions.XFGetCell(A4,B4,C4,D4,E4,F4,G4,H4,I4,J4,K4,L4,M4,N4,O4,P4,Q4,R4,S4,T4)</f>
        <v>0</v>
      </c>
    </row>
    <row r="5" spans="1:21">
      <c r="A5" t="b">
        <v>1</v>
      </c>
      <c r="B5" t="s">
        <v>26</v>
      </c>
      <c r="C5">
        <v>111</v>
      </c>
      <c r="E5" t="s">
        <v>38</v>
      </c>
      <c r="F5" t="s">
        <v>27</v>
      </c>
      <c r="G5" t="str">
        <f>INDEX('User Inputs'!$G$3:$G$14,MATCH(1,'User Inputs'!$J$3:$J$14,0))</f>
        <v>2026M05</v>
      </c>
      <c r="H5" t="s">
        <v>29</v>
      </c>
      <c r="I5">
        <v>611000</v>
      </c>
      <c r="J5" t="s">
        <v>41</v>
      </c>
      <c r="K5" t="s">
        <v>31</v>
      </c>
      <c r="L5" t="s">
        <v>32</v>
      </c>
      <c r="M5">
        <v>170</v>
      </c>
      <c r="N5" t="str">
        <f t="shared" si="0"/>
        <v>111_170</v>
      </c>
      <c r="O5" t="s">
        <v>31</v>
      </c>
      <c r="P5">
        <v>330120</v>
      </c>
      <c r="Q5" t="s">
        <v>31</v>
      </c>
      <c r="R5" t="s">
        <v>31</v>
      </c>
      <c r="S5" t="s">
        <v>31</v>
      </c>
      <c r="T5" t="s">
        <v>31</v>
      </c>
      <c r="U5">
        <f>_xll.OneStreamExcelAddIn.XFFunctions.XFGetCell(A5,B5,C5,D5,E5,F5,G5,H5,I5,J5,K5,L5,M5,N5,O5,P5,Q5,R5,S5,T5)</f>
        <v>0</v>
      </c>
    </row>
    <row r="6" spans="1:21">
      <c r="A6" t="b">
        <v>1</v>
      </c>
      <c r="B6" t="s">
        <v>26</v>
      </c>
      <c r="C6">
        <v>111</v>
      </c>
      <c r="E6" t="s">
        <v>38</v>
      </c>
      <c r="F6" t="s">
        <v>27</v>
      </c>
      <c r="G6" t="str">
        <f>INDEX('User Inputs'!$G$3:$G$14,MATCH(1,'User Inputs'!$J$3:$J$14,0))</f>
        <v>2026M05</v>
      </c>
      <c r="H6" t="s">
        <v>29</v>
      </c>
      <c r="I6">
        <v>611000</v>
      </c>
      <c r="J6" t="s">
        <v>41</v>
      </c>
      <c r="K6" t="s">
        <v>31</v>
      </c>
      <c r="L6" t="s">
        <v>32</v>
      </c>
      <c r="M6">
        <v>170</v>
      </c>
      <c r="N6" t="str">
        <f t="shared" si="0"/>
        <v>111_170</v>
      </c>
      <c r="O6" t="s">
        <v>31</v>
      </c>
      <c r="P6">
        <v>330100</v>
      </c>
      <c r="Q6" t="s">
        <v>31</v>
      </c>
      <c r="R6" t="s">
        <v>31</v>
      </c>
      <c r="S6" t="s">
        <v>31</v>
      </c>
      <c r="T6" t="s">
        <v>31</v>
      </c>
      <c r="U6">
        <f>_xll.OneStreamExcelAddIn.XFFunctions.XFGetCell(A6,B6,C6,D6,E6,F6,G6,H6,I6,J6,K6,L6,M6,N6,O6,P6,Q6,R6,S6,T6)</f>
        <v>306779.49</v>
      </c>
    </row>
    <row r="7" spans="1:21">
      <c r="A7" t="b">
        <v>1</v>
      </c>
      <c r="B7" t="s">
        <v>26</v>
      </c>
      <c r="C7">
        <v>111</v>
      </c>
      <c r="E7" t="s">
        <v>38</v>
      </c>
      <c r="F7" t="s">
        <v>27</v>
      </c>
      <c r="G7" t="str">
        <f>INDEX('User Inputs'!$G$3:$G$14,MATCH(1,'User Inputs'!$J$3:$J$14,0))</f>
        <v>2026M05</v>
      </c>
      <c r="H7" t="s">
        <v>29</v>
      </c>
      <c r="I7">
        <v>611000</v>
      </c>
      <c r="J7" t="s">
        <v>41</v>
      </c>
      <c r="K7" t="s">
        <v>31</v>
      </c>
      <c r="L7" t="s">
        <v>32</v>
      </c>
      <c r="M7">
        <v>170</v>
      </c>
      <c r="N7" t="str">
        <f t="shared" si="0"/>
        <v>111_170</v>
      </c>
      <c r="O7" t="s">
        <v>31</v>
      </c>
      <c r="P7">
        <v>330150</v>
      </c>
      <c r="Q7" t="s">
        <v>31</v>
      </c>
      <c r="R7" t="s">
        <v>31</v>
      </c>
      <c r="S7" t="s">
        <v>31</v>
      </c>
      <c r="T7" t="s">
        <v>31</v>
      </c>
      <c r="U7">
        <f>_xll.OneStreamExcelAddIn.XFFunctions.XFGetCell(A7,B7,C7,D7,E7,F7,G7,H7,I7,J7,K7,L7,M7,N7,O7,P7,Q7,R7,S7,T7)</f>
        <v>0</v>
      </c>
    </row>
    <row r="8" spans="1:21">
      <c r="A8" t="b">
        <v>1</v>
      </c>
      <c r="B8" t="s">
        <v>26</v>
      </c>
      <c r="C8">
        <v>111</v>
      </c>
      <c r="E8" t="s">
        <v>38</v>
      </c>
      <c r="F8" t="s">
        <v>27</v>
      </c>
      <c r="G8" t="str">
        <f>INDEX('User Inputs'!$G$3:$G$14,MATCH(1,'User Inputs'!$J$3:$J$14,0))</f>
        <v>2026M05</v>
      </c>
      <c r="H8" t="s">
        <v>29</v>
      </c>
      <c r="I8">
        <v>611000</v>
      </c>
      <c r="J8" t="s">
        <v>41</v>
      </c>
      <c r="K8" t="s">
        <v>31</v>
      </c>
      <c r="L8" t="s">
        <v>32</v>
      </c>
      <c r="M8">
        <v>170</v>
      </c>
      <c r="N8" t="str">
        <f t="shared" si="0"/>
        <v>111_170</v>
      </c>
      <c r="O8" t="s">
        <v>31</v>
      </c>
      <c r="P8">
        <v>330110</v>
      </c>
      <c r="Q8" t="s">
        <v>31</v>
      </c>
      <c r="R8" t="s">
        <v>31</v>
      </c>
      <c r="S8" t="s">
        <v>31</v>
      </c>
      <c r="T8" t="s">
        <v>31</v>
      </c>
      <c r="U8">
        <f>_xll.OneStreamExcelAddIn.XFFunctions.XFGetCell(A8,B8,C8,D8,E8,F8,G8,H8,I8,J8,K8,L8,M8,N8,O8,P8,Q8,R8,S8,T8)</f>
        <v>0</v>
      </c>
    </row>
    <row r="9" spans="1:21">
      <c r="A9" t="b">
        <v>1</v>
      </c>
      <c r="B9" t="s">
        <v>26</v>
      </c>
      <c r="C9">
        <v>111</v>
      </c>
      <c r="E9" t="s">
        <v>38</v>
      </c>
      <c r="F9" t="s">
        <v>27</v>
      </c>
      <c r="G9" t="str">
        <f>INDEX('User Inputs'!$G$3:$G$14,MATCH(1,'User Inputs'!$J$3:$J$14,0))</f>
        <v>2026M05</v>
      </c>
      <c r="H9" t="s">
        <v>29</v>
      </c>
      <c r="I9">
        <v>611000</v>
      </c>
      <c r="J9" t="s">
        <v>41</v>
      </c>
      <c r="K9" t="s">
        <v>31</v>
      </c>
      <c r="L9" t="s">
        <v>32</v>
      </c>
      <c r="M9">
        <v>170</v>
      </c>
      <c r="N9" t="str">
        <f t="shared" si="0"/>
        <v>111_170</v>
      </c>
      <c r="O9" t="s">
        <v>31</v>
      </c>
      <c r="P9">
        <v>330180</v>
      </c>
      <c r="Q9" t="s">
        <v>31</v>
      </c>
      <c r="R9" t="s">
        <v>31</v>
      </c>
      <c r="S9" t="s">
        <v>31</v>
      </c>
      <c r="T9" t="s">
        <v>31</v>
      </c>
      <c r="U9">
        <f>_xll.OneStreamExcelAddIn.XFFunctions.XFGetCell(A9,B9,C9,D9,E9,F9,G9,H9,I9,J9,K9,L9,M9,N9,O9,P9,Q9,R9,S9,T9)</f>
        <v>0</v>
      </c>
    </row>
    <row r="10" spans="1:21">
      <c r="A10" t="b">
        <v>1</v>
      </c>
      <c r="B10" t="s">
        <v>26</v>
      </c>
      <c r="C10">
        <v>111</v>
      </c>
      <c r="E10" t="s">
        <v>38</v>
      </c>
      <c r="F10" t="s">
        <v>27</v>
      </c>
      <c r="G10" t="str">
        <f>INDEX('User Inputs'!$G$3:$G$14,MATCH(1,'User Inputs'!$J$3:$J$14,0))</f>
        <v>2026M05</v>
      </c>
      <c r="H10" t="s">
        <v>29</v>
      </c>
      <c r="I10">
        <v>611000</v>
      </c>
      <c r="J10" t="s">
        <v>41</v>
      </c>
      <c r="K10" t="s">
        <v>31</v>
      </c>
      <c r="L10" t="s">
        <v>32</v>
      </c>
      <c r="M10">
        <v>170</v>
      </c>
      <c r="N10" t="str">
        <f t="shared" si="0"/>
        <v>111_170</v>
      </c>
      <c r="O10" t="s">
        <v>31</v>
      </c>
      <c r="P10">
        <v>331200</v>
      </c>
      <c r="Q10" t="s">
        <v>31</v>
      </c>
      <c r="R10" t="s">
        <v>31</v>
      </c>
      <c r="S10" t="s">
        <v>31</v>
      </c>
      <c r="T10" t="s">
        <v>31</v>
      </c>
      <c r="U10">
        <f>_xll.OneStreamExcelAddIn.XFFunctions.XFGetCell(A10,B10,C10,D10,E10,F10,G10,H10,I10,J10,K10,L10,M10,N10,O10,P10,Q10,R10,S10,T10)</f>
        <v>35500</v>
      </c>
    </row>
    <row r="11" spans="1:21">
      <c r="A11" t="b">
        <v>1</v>
      </c>
      <c r="B11" t="s">
        <v>26</v>
      </c>
      <c r="C11">
        <v>111</v>
      </c>
      <c r="E11" t="s">
        <v>38</v>
      </c>
      <c r="F11" t="s">
        <v>27</v>
      </c>
      <c r="G11" t="str">
        <f>INDEX('User Inputs'!$G$3:$G$14,MATCH(1,'User Inputs'!$J$3:$J$14,0))</f>
        <v>2026M05</v>
      </c>
      <c r="H11" t="s">
        <v>29</v>
      </c>
      <c r="I11">
        <v>611010</v>
      </c>
      <c r="J11" t="s">
        <v>41</v>
      </c>
      <c r="K11" t="s">
        <v>31</v>
      </c>
      <c r="L11" t="s">
        <v>32</v>
      </c>
      <c r="M11">
        <v>170</v>
      </c>
      <c r="N11" t="str">
        <f t="shared" si="0"/>
        <v>111_170</v>
      </c>
      <c r="O11" t="s">
        <v>31</v>
      </c>
      <c r="P11">
        <v>330210</v>
      </c>
      <c r="Q11" t="s">
        <v>31</v>
      </c>
      <c r="R11" t="s">
        <v>31</v>
      </c>
      <c r="S11" t="s">
        <v>31</v>
      </c>
      <c r="T11" t="s">
        <v>31</v>
      </c>
      <c r="U11">
        <f>_xll.OneStreamExcelAddIn.XFFunctions.XFGetCell(A11,B11,C11,D11,E11,F11,G11,H11,I11,J11,K11,L11,M11,N11,O11,P11,Q11,R11,S11,T11)</f>
        <v>0</v>
      </c>
    </row>
    <row r="12" spans="1:21">
      <c r="A12" t="b">
        <v>1</v>
      </c>
      <c r="B12" t="s">
        <v>26</v>
      </c>
      <c r="C12">
        <v>111</v>
      </c>
      <c r="E12" t="s">
        <v>38</v>
      </c>
      <c r="F12" t="s">
        <v>27</v>
      </c>
      <c r="G12" t="str">
        <f>INDEX('User Inputs'!$G$3:$G$14,MATCH(1,'User Inputs'!$J$3:$J$14,0))</f>
        <v>2026M05</v>
      </c>
      <c r="H12" t="s">
        <v>29</v>
      </c>
      <c r="I12">
        <v>611010</v>
      </c>
      <c r="J12" t="s">
        <v>41</v>
      </c>
      <c r="K12" t="s">
        <v>31</v>
      </c>
      <c r="L12" t="s">
        <v>32</v>
      </c>
      <c r="M12">
        <v>170</v>
      </c>
      <c r="N12" t="str">
        <f t="shared" si="0"/>
        <v>111_170</v>
      </c>
      <c r="O12" t="s">
        <v>31</v>
      </c>
      <c r="P12">
        <v>330200</v>
      </c>
      <c r="Q12" t="s">
        <v>31</v>
      </c>
      <c r="R12" t="s">
        <v>31</v>
      </c>
      <c r="S12" t="s">
        <v>31</v>
      </c>
      <c r="T12" t="s">
        <v>31</v>
      </c>
      <c r="U12">
        <f>_xll.OneStreamExcelAddIn.XFFunctions.XFGetCell(A12,B12,C12,D12,E12,F12,G12,H12,I12,J12,K12,L12,M12,N12,O12,P12,Q12,R12,S12,T12)</f>
        <v>7977</v>
      </c>
    </row>
    <row r="13" spans="1:21">
      <c r="A13" t="b">
        <v>1</v>
      </c>
      <c r="B13" t="s">
        <v>26</v>
      </c>
      <c r="C13">
        <v>111</v>
      </c>
      <c r="E13" t="s">
        <v>38</v>
      </c>
      <c r="F13" t="s">
        <v>27</v>
      </c>
      <c r="G13" t="str">
        <f>INDEX('User Inputs'!$G$3:$G$14,MATCH(1,'User Inputs'!$J$3:$J$14,0))</f>
        <v>2026M05</v>
      </c>
      <c r="H13" t="s">
        <v>29</v>
      </c>
      <c r="I13">
        <v>611010</v>
      </c>
      <c r="J13" t="s">
        <v>41</v>
      </c>
      <c r="K13" t="s">
        <v>31</v>
      </c>
      <c r="L13" t="s">
        <v>32</v>
      </c>
      <c r="M13">
        <v>170</v>
      </c>
      <c r="N13" t="str">
        <f t="shared" si="0"/>
        <v>111_170</v>
      </c>
      <c r="O13" t="s">
        <v>31</v>
      </c>
      <c r="P13">
        <v>330220</v>
      </c>
      <c r="Q13" t="s">
        <v>31</v>
      </c>
      <c r="R13" t="s">
        <v>31</v>
      </c>
      <c r="S13" t="s">
        <v>31</v>
      </c>
      <c r="T13" t="s">
        <v>31</v>
      </c>
      <c r="U13">
        <f>_xll.OneStreamExcelAddIn.XFFunctions.XFGetCell(A13,B13,C13,D13,E13,F13,G13,H13,I13,J13,K13,L13,M13,N13,O13,P13,Q13,R13,S13,T13)</f>
        <v>0</v>
      </c>
    </row>
    <row r="14" spans="1:21">
      <c r="A14" t="b">
        <v>1</v>
      </c>
      <c r="B14" t="s">
        <v>26</v>
      </c>
      <c r="C14">
        <v>111</v>
      </c>
      <c r="E14" t="s">
        <v>38</v>
      </c>
      <c r="F14" t="s">
        <v>27</v>
      </c>
      <c r="G14" t="str">
        <f>INDEX('User Inputs'!$G$3:$G$14,MATCH(1,'User Inputs'!$J$3:$J$14,0))</f>
        <v>2026M05</v>
      </c>
      <c r="H14" t="s">
        <v>29</v>
      </c>
      <c r="I14">
        <v>611010</v>
      </c>
      <c r="J14" t="s">
        <v>41</v>
      </c>
      <c r="K14" t="s">
        <v>31</v>
      </c>
      <c r="L14" t="s">
        <v>32</v>
      </c>
      <c r="M14">
        <v>170</v>
      </c>
      <c r="N14" t="str">
        <f t="shared" si="0"/>
        <v>111_170</v>
      </c>
      <c r="O14" t="s">
        <v>31</v>
      </c>
      <c r="P14">
        <v>330250</v>
      </c>
      <c r="Q14" t="s">
        <v>31</v>
      </c>
      <c r="R14" t="s">
        <v>31</v>
      </c>
      <c r="S14" t="s">
        <v>31</v>
      </c>
      <c r="T14" t="s">
        <v>31</v>
      </c>
      <c r="U14">
        <f>_xll.OneStreamExcelAddIn.XFFunctions.XFGetCell(A14,B14,C14,D14,E14,F14,G14,H14,I14,J14,K14,L14,M14,N14,O14,P14,Q14,R14,S14,T14)</f>
        <v>994381.66</v>
      </c>
    </row>
    <row r="15" spans="1:21">
      <c r="A15" t="b">
        <v>1</v>
      </c>
      <c r="B15" t="s">
        <v>26</v>
      </c>
      <c r="C15">
        <v>111</v>
      </c>
      <c r="E15" t="s">
        <v>38</v>
      </c>
      <c r="F15" t="s">
        <v>27</v>
      </c>
      <c r="G15" t="str">
        <f>INDEX('User Inputs'!$G$3:$G$14,MATCH(1,'User Inputs'!$J$3:$J$14,0))</f>
        <v>2026M05</v>
      </c>
      <c r="H15" t="s">
        <v>29</v>
      </c>
      <c r="I15">
        <v>611010</v>
      </c>
      <c r="J15" t="s">
        <v>41</v>
      </c>
      <c r="K15" t="s">
        <v>31</v>
      </c>
      <c r="L15" t="s">
        <v>32</v>
      </c>
      <c r="M15">
        <v>170</v>
      </c>
      <c r="N15" t="str">
        <f t="shared" si="0"/>
        <v>111_170</v>
      </c>
      <c r="O15" t="s">
        <v>31</v>
      </c>
      <c r="P15">
        <v>330230</v>
      </c>
      <c r="Q15" t="s">
        <v>31</v>
      </c>
      <c r="R15" t="s">
        <v>31</v>
      </c>
      <c r="S15" t="s">
        <v>31</v>
      </c>
      <c r="T15" t="s">
        <v>31</v>
      </c>
      <c r="U15">
        <f>_xll.OneStreamExcelAddIn.XFFunctions.XFGetCell(A15,B15,C15,D15,E15,F15,G15,H15,I15,J15,K15,L15,M15,N15,O15,P15,Q15,R15,S15,T15)</f>
        <v>0</v>
      </c>
    </row>
    <row r="16" spans="1:21">
      <c r="A16" t="b">
        <v>1</v>
      </c>
      <c r="B16" t="s">
        <v>26</v>
      </c>
      <c r="C16">
        <v>111</v>
      </c>
      <c r="E16" t="s">
        <v>38</v>
      </c>
      <c r="F16" t="s">
        <v>27</v>
      </c>
      <c r="G16" t="str">
        <f>INDEX('User Inputs'!$G$3:$G$14,MATCH(1,'User Inputs'!$J$3:$J$14,0))</f>
        <v>2026M05</v>
      </c>
      <c r="H16" t="s">
        <v>29</v>
      </c>
      <c r="I16">
        <v>611010</v>
      </c>
      <c r="J16" t="s">
        <v>41</v>
      </c>
      <c r="K16" t="s">
        <v>31</v>
      </c>
      <c r="L16" t="s">
        <v>32</v>
      </c>
      <c r="M16">
        <v>170</v>
      </c>
      <c r="N16" t="str">
        <f t="shared" si="0"/>
        <v>111_170</v>
      </c>
      <c r="O16" t="s">
        <v>31</v>
      </c>
      <c r="P16">
        <v>330260</v>
      </c>
      <c r="Q16" t="s">
        <v>31</v>
      </c>
      <c r="R16" t="s">
        <v>31</v>
      </c>
      <c r="S16" t="s">
        <v>31</v>
      </c>
      <c r="T16" t="s">
        <v>31</v>
      </c>
      <c r="U16">
        <f>_xll.OneStreamExcelAddIn.XFFunctions.XFGetCell(A16,B16,C16,D16,E16,F16,G16,H16,I16,J16,K16,L16,M16,N16,O16,P16,Q16,R16,S16,T16)</f>
        <v>243000</v>
      </c>
    </row>
    <row r="17" spans="1:21">
      <c r="A17" t="b">
        <v>1</v>
      </c>
      <c r="B17" t="s">
        <v>26</v>
      </c>
      <c r="C17">
        <v>111</v>
      </c>
      <c r="E17" t="s">
        <v>38</v>
      </c>
      <c r="F17" t="s">
        <v>27</v>
      </c>
      <c r="G17" t="str">
        <f>INDEX('User Inputs'!$G$3:$G$14,MATCH(1,'User Inputs'!$J$3:$J$14,0))</f>
        <v>2026M05</v>
      </c>
      <c r="H17" t="s">
        <v>29</v>
      </c>
      <c r="I17">
        <v>611010</v>
      </c>
      <c r="J17" t="s">
        <v>41</v>
      </c>
      <c r="K17" t="s">
        <v>31</v>
      </c>
      <c r="L17" t="s">
        <v>32</v>
      </c>
      <c r="M17">
        <v>170</v>
      </c>
      <c r="N17" t="str">
        <f t="shared" si="0"/>
        <v>111_170</v>
      </c>
      <c r="O17" t="s">
        <v>31</v>
      </c>
      <c r="P17">
        <v>330240</v>
      </c>
      <c r="Q17" t="s">
        <v>31</v>
      </c>
      <c r="R17" t="s">
        <v>31</v>
      </c>
      <c r="S17" t="s">
        <v>31</v>
      </c>
      <c r="T17" t="s">
        <v>31</v>
      </c>
      <c r="U17">
        <f>_xll.OneStreamExcelAddIn.XFFunctions.XFGetCell(A17,B17,C17,D17,E17,F17,G17,H17,I17,J17,K17,L17,M17,N17,O17,P17,Q17,R17,S17,T17)</f>
        <v>0</v>
      </c>
    </row>
    <row r="18" spans="1:21">
      <c r="A18" t="b">
        <v>1</v>
      </c>
      <c r="B18" t="s">
        <v>26</v>
      </c>
      <c r="C18">
        <v>111</v>
      </c>
      <c r="E18" t="s">
        <v>38</v>
      </c>
      <c r="F18" t="s">
        <v>27</v>
      </c>
      <c r="G18" t="str">
        <f>INDEX('User Inputs'!$G$3:$G$14,MATCH(1,'User Inputs'!$J$3:$J$14,0))</f>
        <v>2026M05</v>
      </c>
      <c r="H18" t="s">
        <v>29</v>
      </c>
      <c r="I18">
        <v>611020</v>
      </c>
      <c r="J18" t="s">
        <v>41</v>
      </c>
      <c r="K18" t="s">
        <v>31</v>
      </c>
      <c r="L18" t="s">
        <v>32</v>
      </c>
      <c r="M18">
        <v>170</v>
      </c>
      <c r="N18" t="str">
        <f t="shared" si="0"/>
        <v>111_170</v>
      </c>
      <c r="O18" t="s">
        <v>31</v>
      </c>
      <c r="P18">
        <v>330330</v>
      </c>
      <c r="Q18" t="s">
        <v>31</v>
      </c>
      <c r="R18" t="s">
        <v>31</v>
      </c>
      <c r="S18" t="s">
        <v>31</v>
      </c>
      <c r="T18" t="s">
        <v>31</v>
      </c>
      <c r="U18">
        <f>_xll.OneStreamExcelAddIn.XFFunctions.XFGetCell(A18,B18,C18,D18,E18,F18,G18,H18,I18,J18,K18,L18,M18,N18,O18,P18,Q18,R18,S18,T18)</f>
        <v>0</v>
      </c>
    </row>
    <row r="19" spans="1:21">
      <c r="A19" t="b">
        <v>1</v>
      </c>
      <c r="B19" t="s">
        <v>26</v>
      </c>
      <c r="C19">
        <v>111</v>
      </c>
      <c r="E19" t="s">
        <v>38</v>
      </c>
      <c r="F19" t="s">
        <v>27</v>
      </c>
      <c r="G19" t="str">
        <f>INDEX('User Inputs'!$G$3:$G$14,MATCH(1,'User Inputs'!$J$3:$J$14,0))</f>
        <v>2026M05</v>
      </c>
      <c r="H19" t="s">
        <v>29</v>
      </c>
      <c r="I19">
        <v>611020</v>
      </c>
      <c r="J19" t="s">
        <v>41</v>
      </c>
      <c r="K19" t="s">
        <v>31</v>
      </c>
      <c r="L19" t="s">
        <v>32</v>
      </c>
      <c r="M19">
        <v>170</v>
      </c>
      <c r="N19" t="str">
        <f t="shared" si="0"/>
        <v>111_170</v>
      </c>
      <c r="O19" t="s">
        <v>31</v>
      </c>
      <c r="P19">
        <v>330300</v>
      </c>
      <c r="Q19" t="s">
        <v>31</v>
      </c>
      <c r="R19" t="s">
        <v>31</v>
      </c>
      <c r="S19" t="s">
        <v>31</v>
      </c>
      <c r="T19" t="s">
        <v>31</v>
      </c>
      <c r="U19">
        <f>_xll.OneStreamExcelAddIn.XFFunctions.XFGetCell(A19,B19,C19,D19,E19,F19,G19,H19,I19,J19,K19,L19,M19,N19,O19,P19,Q19,R19,S19,T19)</f>
        <v>0</v>
      </c>
    </row>
    <row r="20" spans="1:21">
      <c r="A20" t="b">
        <v>1</v>
      </c>
      <c r="B20" t="s">
        <v>26</v>
      </c>
      <c r="C20">
        <v>111</v>
      </c>
      <c r="E20" t="s">
        <v>38</v>
      </c>
      <c r="F20" t="s">
        <v>27</v>
      </c>
      <c r="G20" t="str">
        <f>INDEX('User Inputs'!$G$3:$G$14,MATCH(1,'User Inputs'!$J$3:$J$14,0))</f>
        <v>2026M05</v>
      </c>
      <c r="H20" t="s">
        <v>29</v>
      </c>
      <c r="I20">
        <v>611020</v>
      </c>
      <c r="J20" t="s">
        <v>41</v>
      </c>
      <c r="K20" t="s">
        <v>31</v>
      </c>
      <c r="L20" t="s">
        <v>32</v>
      </c>
      <c r="M20">
        <v>170</v>
      </c>
      <c r="N20" t="str">
        <f t="shared" si="0"/>
        <v>111_170</v>
      </c>
      <c r="O20" t="s">
        <v>31</v>
      </c>
      <c r="P20">
        <v>330340</v>
      </c>
      <c r="Q20" t="s">
        <v>31</v>
      </c>
      <c r="R20" t="s">
        <v>31</v>
      </c>
      <c r="S20" t="s">
        <v>31</v>
      </c>
      <c r="T20" t="s">
        <v>31</v>
      </c>
      <c r="U20">
        <f>_xll.OneStreamExcelAddIn.XFFunctions.XFGetCell(A20,B20,C20,D20,E20,F20,G20,H20,I20,J20,K20,L20,M20,N20,O20,P20,Q20,R20,S20,T20)</f>
        <v>333860.43</v>
      </c>
    </row>
    <row r="21" spans="1:21">
      <c r="A21" t="b">
        <v>1</v>
      </c>
      <c r="B21" t="s">
        <v>26</v>
      </c>
      <c r="C21">
        <v>111</v>
      </c>
      <c r="E21" t="s">
        <v>38</v>
      </c>
      <c r="F21" t="s">
        <v>27</v>
      </c>
      <c r="G21" t="str">
        <f>INDEX('User Inputs'!$G$3:$G$14,MATCH(1,'User Inputs'!$J$3:$J$14,0))</f>
        <v>2026M05</v>
      </c>
      <c r="H21" t="s">
        <v>29</v>
      </c>
      <c r="I21">
        <v>611020</v>
      </c>
      <c r="J21" t="s">
        <v>41</v>
      </c>
      <c r="K21" t="s">
        <v>31</v>
      </c>
      <c r="L21" t="s">
        <v>32</v>
      </c>
      <c r="M21">
        <v>170</v>
      </c>
      <c r="N21" t="str">
        <f t="shared" si="0"/>
        <v>111_170</v>
      </c>
      <c r="O21" t="s">
        <v>31</v>
      </c>
      <c r="P21">
        <v>330350</v>
      </c>
      <c r="Q21" t="s">
        <v>31</v>
      </c>
      <c r="R21" t="s">
        <v>31</v>
      </c>
      <c r="S21" t="s">
        <v>31</v>
      </c>
      <c r="T21" t="s">
        <v>31</v>
      </c>
      <c r="U21">
        <f>_xll.OneStreamExcelAddIn.XFFunctions.XFGetCell(A21,B21,C21,D21,E21,F21,G21,H21,I21,J21,K21,L21,M21,N21,O21,P21,Q21,R21,S21,T21)</f>
        <v>0</v>
      </c>
    </row>
    <row r="22" spans="1:21">
      <c r="A22" t="b">
        <v>1</v>
      </c>
      <c r="B22" t="s">
        <v>26</v>
      </c>
      <c r="C22">
        <v>111</v>
      </c>
      <c r="E22" t="s">
        <v>38</v>
      </c>
      <c r="F22" t="s">
        <v>27</v>
      </c>
      <c r="G22" t="str">
        <f>INDEX('User Inputs'!$G$3:$G$14,MATCH(1,'User Inputs'!$J$3:$J$14,0))</f>
        <v>2026M05</v>
      </c>
      <c r="H22" t="s">
        <v>29</v>
      </c>
      <c r="I22">
        <v>611020</v>
      </c>
      <c r="J22" t="s">
        <v>41</v>
      </c>
      <c r="K22" t="s">
        <v>31</v>
      </c>
      <c r="L22" t="s">
        <v>32</v>
      </c>
      <c r="M22">
        <v>170</v>
      </c>
      <c r="N22" t="str">
        <f t="shared" si="0"/>
        <v>111_170</v>
      </c>
      <c r="O22" t="s">
        <v>31</v>
      </c>
      <c r="P22">
        <v>330320</v>
      </c>
      <c r="Q22" t="s">
        <v>31</v>
      </c>
      <c r="R22" t="s">
        <v>31</v>
      </c>
      <c r="S22" t="s">
        <v>31</v>
      </c>
      <c r="T22" t="s">
        <v>31</v>
      </c>
      <c r="U22">
        <f>_xll.OneStreamExcelAddIn.XFFunctions.XFGetCell(A22,B22,C22,D22,E22,F22,G22,H22,I22,J22,K22,L22,M22,N22,O22,P22,Q22,R22,S22,T22)</f>
        <v>101718.16</v>
      </c>
    </row>
    <row r="23" spans="1:21">
      <c r="A23" t="b">
        <v>1</v>
      </c>
      <c r="B23" t="s">
        <v>26</v>
      </c>
      <c r="C23">
        <v>111</v>
      </c>
      <c r="E23" t="s">
        <v>38</v>
      </c>
      <c r="F23" t="s">
        <v>27</v>
      </c>
      <c r="G23" t="str">
        <f>INDEX('User Inputs'!$G$3:$G$14,MATCH(1,'User Inputs'!$J$3:$J$14,0))</f>
        <v>2026M05</v>
      </c>
      <c r="H23" t="s">
        <v>29</v>
      </c>
      <c r="I23">
        <v>611020</v>
      </c>
      <c r="J23" t="s">
        <v>41</v>
      </c>
      <c r="K23" t="s">
        <v>31</v>
      </c>
      <c r="L23" t="s">
        <v>32</v>
      </c>
      <c r="M23">
        <v>170</v>
      </c>
      <c r="N23" t="str">
        <f t="shared" si="0"/>
        <v>111_170</v>
      </c>
      <c r="O23" t="s">
        <v>31</v>
      </c>
      <c r="P23">
        <v>330360</v>
      </c>
      <c r="Q23" t="s">
        <v>31</v>
      </c>
      <c r="R23" t="s">
        <v>31</v>
      </c>
      <c r="S23" t="s">
        <v>31</v>
      </c>
      <c r="T23" t="s">
        <v>31</v>
      </c>
      <c r="U23">
        <f>_xll.OneStreamExcelAddIn.XFFunctions.XFGetCell(A23,B23,C23,D23,E23,F23,G23,H23,I23,J23,K23,L23,M23,N23,O23,P23,Q23,R23,S23,T23)</f>
        <v>0</v>
      </c>
    </row>
    <row r="24" spans="1:21">
      <c r="A24" t="b">
        <v>1</v>
      </c>
      <c r="B24" t="s">
        <v>26</v>
      </c>
      <c r="C24">
        <v>111</v>
      </c>
      <c r="E24" t="s">
        <v>38</v>
      </c>
      <c r="F24" t="s">
        <v>27</v>
      </c>
      <c r="G24" t="str">
        <f>INDEX('User Inputs'!$G$3:$G$14,MATCH(1,'User Inputs'!$J$3:$J$14,0))</f>
        <v>2026M05</v>
      </c>
      <c r="H24" t="s">
        <v>29</v>
      </c>
      <c r="I24">
        <v>611020</v>
      </c>
      <c r="J24" t="s">
        <v>41</v>
      </c>
      <c r="K24" t="s">
        <v>31</v>
      </c>
      <c r="L24" t="s">
        <v>32</v>
      </c>
      <c r="M24">
        <v>170</v>
      </c>
      <c r="N24" t="str">
        <f t="shared" si="0"/>
        <v>111_170</v>
      </c>
      <c r="O24" t="s">
        <v>31</v>
      </c>
      <c r="P24">
        <v>330370</v>
      </c>
      <c r="Q24" t="s">
        <v>31</v>
      </c>
      <c r="R24" t="s">
        <v>31</v>
      </c>
      <c r="S24" t="s">
        <v>31</v>
      </c>
      <c r="T24" t="s">
        <v>31</v>
      </c>
      <c r="U24">
        <f>_xll.OneStreamExcelAddIn.XFFunctions.XFGetCell(A24,B24,C24,D24,E24,F24,G24,H24,I24,J24,K24,L24,M24,N24,O24,P24,Q24,R24,S24,T24)</f>
        <v>0</v>
      </c>
    </row>
    <row r="25" spans="1:21">
      <c r="A25" t="b">
        <v>1</v>
      </c>
      <c r="B25" t="s">
        <v>26</v>
      </c>
      <c r="C25">
        <v>111</v>
      </c>
      <c r="E25" t="s">
        <v>38</v>
      </c>
      <c r="F25" t="s">
        <v>27</v>
      </c>
      <c r="G25" t="str">
        <f>INDEX('User Inputs'!$G$3:$G$14,MATCH(1,'User Inputs'!$J$3:$J$14,0))</f>
        <v>2026M05</v>
      </c>
      <c r="H25" t="s">
        <v>29</v>
      </c>
      <c r="I25">
        <v>611020</v>
      </c>
      <c r="J25" t="s">
        <v>41</v>
      </c>
      <c r="K25" t="s">
        <v>31</v>
      </c>
      <c r="L25" t="s">
        <v>32</v>
      </c>
      <c r="M25">
        <v>170</v>
      </c>
      <c r="N25" t="str">
        <f t="shared" si="0"/>
        <v>111_170</v>
      </c>
      <c r="O25" t="s">
        <v>31</v>
      </c>
      <c r="P25">
        <v>330310</v>
      </c>
      <c r="Q25" t="s">
        <v>31</v>
      </c>
      <c r="R25" t="s">
        <v>31</v>
      </c>
      <c r="S25" t="s">
        <v>31</v>
      </c>
      <c r="T25" t="s">
        <v>31</v>
      </c>
      <c r="U25">
        <f>_xll.OneStreamExcelAddIn.XFFunctions.XFGetCell(A25,B25,C25,D25,E25,F25,G25,H25,I25,J25,K25,L25,M25,N25,O25,P25,Q25,R25,S25,T25)</f>
        <v>0</v>
      </c>
    </row>
    <row r="26" spans="1:21">
      <c r="A26" t="b">
        <v>1</v>
      </c>
      <c r="B26" t="s">
        <v>26</v>
      </c>
      <c r="C26">
        <v>111</v>
      </c>
      <c r="E26" t="s">
        <v>38</v>
      </c>
      <c r="F26" t="s">
        <v>27</v>
      </c>
      <c r="G26" t="str">
        <f>INDEX('User Inputs'!$G$3:$G$14,MATCH(1,'User Inputs'!$J$3:$J$14,0))</f>
        <v>2026M05</v>
      </c>
      <c r="H26" t="s">
        <v>29</v>
      </c>
      <c r="I26">
        <v>611020</v>
      </c>
      <c r="J26" t="s">
        <v>41</v>
      </c>
      <c r="K26" t="s">
        <v>31</v>
      </c>
      <c r="L26" t="s">
        <v>32</v>
      </c>
      <c r="M26">
        <v>170</v>
      </c>
      <c r="N26" t="str">
        <f t="shared" si="0"/>
        <v>111_170</v>
      </c>
      <c r="O26" t="s">
        <v>31</v>
      </c>
      <c r="P26">
        <v>330380</v>
      </c>
      <c r="Q26" t="s">
        <v>31</v>
      </c>
      <c r="R26" t="s">
        <v>31</v>
      </c>
      <c r="S26" t="s">
        <v>31</v>
      </c>
      <c r="T26" t="s">
        <v>31</v>
      </c>
      <c r="U26">
        <f>_xll.OneStreamExcelAddIn.XFFunctions.XFGetCell(A26,B26,C26,D26,E26,F26,G26,H26,I26,J26,K26,L26,M26,N26,O26,P26,Q26,R26,S26,T26)</f>
        <v>0</v>
      </c>
    </row>
    <row r="27" spans="1:21">
      <c r="A27" t="b">
        <v>1</v>
      </c>
      <c r="B27" t="s">
        <v>26</v>
      </c>
      <c r="C27">
        <v>111</v>
      </c>
      <c r="E27" t="s">
        <v>38</v>
      </c>
      <c r="F27" t="s">
        <v>27</v>
      </c>
      <c r="G27" t="str">
        <f>INDEX('User Inputs'!$G$3:$G$14,MATCH(1,'User Inputs'!$J$3:$J$14,0))</f>
        <v>2026M05</v>
      </c>
      <c r="H27" t="s">
        <v>29</v>
      </c>
      <c r="I27">
        <v>611030</v>
      </c>
      <c r="J27" t="s">
        <v>41</v>
      </c>
      <c r="K27" t="s">
        <v>31</v>
      </c>
      <c r="L27" t="s">
        <v>32</v>
      </c>
      <c r="M27">
        <v>170</v>
      </c>
      <c r="N27" t="str">
        <f t="shared" si="0"/>
        <v>111_170</v>
      </c>
      <c r="O27" t="s">
        <v>31</v>
      </c>
      <c r="P27">
        <v>330420</v>
      </c>
      <c r="Q27" t="s">
        <v>31</v>
      </c>
      <c r="R27" t="s">
        <v>31</v>
      </c>
      <c r="S27" t="s">
        <v>31</v>
      </c>
      <c r="T27" t="s">
        <v>31</v>
      </c>
      <c r="U27">
        <f>_xll.OneStreamExcelAddIn.XFFunctions.XFGetCell(A27,B27,C27,D27,E27,F27,G27,H27,I27,J27,K27,L27,M27,N27,O27,P27,Q27,R27,S27,T27)</f>
        <v>0</v>
      </c>
    </row>
    <row r="28" spans="1:21">
      <c r="A28" t="b">
        <v>1</v>
      </c>
      <c r="B28" t="s">
        <v>26</v>
      </c>
      <c r="C28">
        <v>111</v>
      </c>
      <c r="E28" t="s">
        <v>38</v>
      </c>
      <c r="F28" t="s">
        <v>27</v>
      </c>
      <c r="G28" t="str">
        <f>INDEX('User Inputs'!$G$3:$G$14,MATCH(1,'User Inputs'!$J$3:$J$14,0))</f>
        <v>2026M05</v>
      </c>
      <c r="H28" t="s">
        <v>29</v>
      </c>
      <c r="I28">
        <v>611030</v>
      </c>
      <c r="J28" t="s">
        <v>41</v>
      </c>
      <c r="K28" t="s">
        <v>31</v>
      </c>
      <c r="L28" t="s">
        <v>32</v>
      </c>
      <c r="M28">
        <v>170</v>
      </c>
      <c r="N28" t="str">
        <f t="shared" si="0"/>
        <v>111_170</v>
      </c>
      <c r="O28" t="s">
        <v>31</v>
      </c>
      <c r="P28">
        <v>330430</v>
      </c>
      <c r="Q28" t="s">
        <v>31</v>
      </c>
      <c r="R28" t="s">
        <v>31</v>
      </c>
      <c r="S28" t="s">
        <v>31</v>
      </c>
      <c r="T28" t="s">
        <v>31</v>
      </c>
      <c r="U28">
        <f>_xll.OneStreamExcelAddIn.XFFunctions.XFGetCell(A28,B28,C28,D28,E28,F28,G28,H28,I28,J28,K28,L28,M28,N28,O28,P28,Q28,R28,S28,T28)</f>
        <v>15446.83</v>
      </c>
    </row>
    <row r="29" spans="1:21">
      <c r="A29" t="b">
        <v>1</v>
      </c>
      <c r="B29" t="s">
        <v>26</v>
      </c>
      <c r="C29">
        <v>111</v>
      </c>
      <c r="E29" t="s">
        <v>38</v>
      </c>
      <c r="F29" t="s">
        <v>27</v>
      </c>
      <c r="G29" t="str">
        <f>INDEX('User Inputs'!$G$3:$G$14,MATCH(1,'User Inputs'!$J$3:$J$14,0))</f>
        <v>2026M05</v>
      </c>
      <c r="H29" t="s">
        <v>29</v>
      </c>
      <c r="I29">
        <v>611030</v>
      </c>
      <c r="J29" t="s">
        <v>41</v>
      </c>
      <c r="K29" t="s">
        <v>31</v>
      </c>
      <c r="L29" t="s">
        <v>32</v>
      </c>
      <c r="M29">
        <v>170</v>
      </c>
      <c r="N29" t="str">
        <f t="shared" si="0"/>
        <v>111_170</v>
      </c>
      <c r="O29" t="s">
        <v>31</v>
      </c>
      <c r="P29">
        <v>330435</v>
      </c>
      <c r="Q29" t="s">
        <v>31</v>
      </c>
      <c r="R29" t="s">
        <v>31</v>
      </c>
      <c r="S29" t="s">
        <v>31</v>
      </c>
      <c r="T29" t="s">
        <v>31</v>
      </c>
      <c r="U29">
        <f>_xll.OneStreamExcelAddIn.XFFunctions.XFGetCell(A29,B29,C29,D29,E29,F29,G29,H29,I29,J29,K29,L29,M29,N29,O29,P29,Q29,R29,S29,T29)</f>
        <v>393468</v>
      </c>
    </row>
    <row r="30" spans="1:21">
      <c r="A30" t="b">
        <v>1</v>
      </c>
      <c r="B30" t="s">
        <v>26</v>
      </c>
      <c r="C30">
        <v>111</v>
      </c>
      <c r="E30" t="s">
        <v>38</v>
      </c>
      <c r="F30" t="s">
        <v>27</v>
      </c>
      <c r="G30" t="str">
        <f>INDEX('User Inputs'!$G$3:$G$14,MATCH(1,'User Inputs'!$J$3:$J$14,0))</f>
        <v>2026M05</v>
      </c>
      <c r="H30" t="s">
        <v>29</v>
      </c>
      <c r="I30">
        <v>611030</v>
      </c>
      <c r="J30" t="s">
        <v>41</v>
      </c>
      <c r="K30" t="s">
        <v>31</v>
      </c>
      <c r="L30" t="s">
        <v>32</v>
      </c>
      <c r="M30">
        <v>170</v>
      </c>
      <c r="N30" t="str">
        <f t="shared" si="0"/>
        <v>111_170</v>
      </c>
      <c r="O30" t="s">
        <v>31</v>
      </c>
      <c r="P30">
        <v>330440</v>
      </c>
      <c r="Q30" t="s">
        <v>31</v>
      </c>
      <c r="R30" t="s">
        <v>31</v>
      </c>
      <c r="S30" t="s">
        <v>31</v>
      </c>
      <c r="T30" t="s">
        <v>31</v>
      </c>
      <c r="U30">
        <f>_xll.OneStreamExcelAddIn.XFFunctions.XFGetCell(A30,B30,C30,D30,E30,F30,G30,H30,I30,J30,K30,L30,M30,N30,O30,P30,Q30,R30,S30,T30)</f>
        <v>192999.81</v>
      </c>
    </row>
    <row r="31" spans="1:21">
      <c r="A31" t="b">
        <v>1</v>
      </c>
      <c r="B31" t="s">
        <v>26</v>
      </c>
      <c r="C31">
        <v>111</v>
      </c>
      <c r="E31" t="s">
        <v>38</v>
      </c>
      <c r="F31" t="s">
        <v>27</v>
      </c>
      <c r="G31" t="str">
        <f>INDEX('User Inputs'!$G$3:$G$14,MATCH(1,'User Inputs'!$J$3:$J$14,0))</f>
        <v>2026M05</v>
      </c>
      <c r="H31" t="s">
        <v>29</v>
      </c>
      <c r="I31">
        <v>611030</v>
      </c>
      <c r="J31" t="s">
        <v>41</v>
      </c>
      <c r="K31" t="s">
        <v>31</v>
      </c>
      <c r="L31" t="s">
        <v>32</v>
      </c>
      <c r="M31">
        <v>170</v>
      </c>
      <c r="N31" t="str">
        <f t="shared" si="0"/>
        <v>111_170</v>
      </c>
      <c r="O31" t="s">
        <v>31</v>
      </c>
      <c r="P31">
        <v>330445</v>
      </c>
      <c r="Q31" t="s">
        <v>31</v>
      </c>
      <c r="R31" t="s">
        <v>31</v>
      </c>
      <c r="S31" t="s">
        <v>31</v>
      </c>
      <c r="T31" t="s">
        <v>31</v>
      </c>
      <c r="U31">
        <f>_xll.OneStreamExcelAddIn.XFFunctions.XFGetCell(A31,B31,C31,D31,E31,F31,G31,H31,I31,J31,K31,L31,M31,N31,O31,P31,Q31,R31,S31,T31)</f>
        <v>293900</v>
      </c>
    </row>
    <row r="32" spans="1:21">
      <c r="A32" t="b">
        <v>1</v>
      </c>
      <c r="B32" t="s">
        <v>26</v>
      </c>
      <c r="C32">
        <v>111</v>
      </c>
      <c r="E32" t="s">
        <v>38</v>
      </c>
      <c r="F32" t="s">
        <v>27</v>
      </c>
      <c r="G32" t="str">
        <f>INDEX('User Inputs'!$G$3:$G$14,MATCH(1,'User Inputs'!$J$3:$J$14,0))</f>
        <v>2026M05</v>
      </c>
      <c r="H32" t="s">
        <v>29</v>
      </c>
      <c r="I32">
        <v>611030</v>
      </c>
      <c r="J32" t="s">
        <v>41</v>
      </c>
      <c r="K32" t="s">
        <v>31</v>
      </c>
      <c r="L32" t="s">
        <v>32</v>
      </c>
      <c r="M32">
        <v>170</v>
      </c>
      <c r="N32" t="str">
        <f t="shared" si="0"/>
        <v>111_170</v>
      </c>
      <c r="O32" t="s">
        <v>31</v>
      </c>
      <c r="P32">
        <v>330410</v>
      </c>
      <c r="Q32" t="s">
        <v>31</v>
      </c>
      <c r="R32" t="s">
        <v>31</v>
      </c>
      <c r="S32" t="s">
        <v>31</v>
      </c>
      <c r="T32" t="s">
        <v>31</v>
      </c>
      <c r="U32">
        <f>_xll.OneStreamExcelAddIn.XFFunctions.XFGetCell(A32,B32,C32,D32,E32,F32,G32,H32,I32,J32,K32,L32,M32,N32,O32,P32,Q32,R32,S32,T32)</f>
        <v>0</v>
      </c>
    </row>
    <row r="33" spans="1:21">
      <c r="A33" t="b">
        <v>1</v>
      </c>
      <c r="B33" t="s">
        <v>26</v>
      </c>
      <c r="C33">
        <v>111</v>
      </c>
      <c r="E33" t="s">
        <v>38</v>
      </c>
      <c r="F33" t="s">
        <v>27</v>
      </c>
      <c r="G33" t="str">
        <f>INDEX('User Inputs'!$G$3:$G$14,MATCH(1,'User Inputs'!$J$3:$J$14,0))</f>
        <v>2026M05</v>
      </c>
      <c r="H33" t="s">
        <v>29</v>
      </c>
      <c r="I33">
        <v>611040</v>
      </c>
      <c r="J33" t="s">
        <v>41</v>
      </c>
      <c r="K33" t="s">
        <v>31</v>
      </c>
      <c r="L33" t="s">
        <v>32</v>
      </c>
      <c r="M33">
        <v>170</v>
      </c>
      <c r="N33" t="str">
        <f t="shared" si="0"/>
        <v>111_170</v>
      </c>
      <c r="O33" t="s">
        <v>31</v>
      </c>
      <c r="P33">
        <v>330450</v>
      </c>
      <c r="Q33" t="s">
        <v>31</v>
      </c>
      <c r="R33" t="s">
        <v>31</v>
      </c>
      <c r="S33" t="s">
        <v>31</v>
      </c>
      <c r="T33" t="s">
        <v>31</v>
      </c>
      <c r="U33">
        <f>_xll.OneStreamExcelAddIn.XFFunctions.XFGetCell(A33,B33,C33,D33,E33,F33,G33,H33,I33,J33,K33,L33,M33,N33,O33,P33,Q33,R33,S33,T33)</f>
        <v>43750</v>
      </c>
    </row>
    <row r="34" spans="1:21">
      <c r="A34" t="b">
        <v>1</v>
      </c>
      <c r="B34" t="s">
        <v>26</v>
      </c>
      <c r="C34">
        <v>111</v>
      </c>
      <c r="E34" t="s">
        <v>38</v>
      </c>
      <c r="F34" t="s">
        <v>27</v>
      </c>
      <c r="G34" t="str">
        <f>INDEX('User Inputs'!$G$3:$G$14,MATCH(1,'User Inputs'!$J$3:$J$14,0))</f>
        <v>2026M05</v>
      </c>
      <c r="H34" t="s">
        <v>29</v>
      </c>
      <c r="I34">
        <v>611588</v>
      </c>
      <c r="J34" t="s">
        <v>41</v>
      </c>
      <c r="K34" t="s">
        <v>31</v>
      </c>
      <c r="L34" t="s">
        <v>32</v>
      </c>
      <c r="M34">
        <v>170</v>
      </c>
      <c r="N34" t="str">
        <f t="shared" si="0"/>
        <v>111_170</v>
      </c>
      <c r="O34" t="s">
        <v>31</v>
      </c>
      <c r="P34">
        <v>330915</v>
      </c>
      <c r="Q34" t="s">
        <v>31</v>
      </c>
      <c r="R34" t="s">
        <v>31</v>
      </c>
      <c r="S34" t="s">
        <v>31</v>
      </c>
      <c r="T34" t="s">
        <v>31</v>
      </c>
      <c r="U34">
        <f>_xll.OneStreamExcelAddIn.XFFunctions.XFGetCell(A34,B34,C34,D34,E34,F34,G34,H34,I34,J34,K34,L34,M34,N34,O34,P34,Q34,R34,S34,T34)</f>
        <v>0</v>
      </c>
    </row>
    <row r="35" spans="1:21">
      <c r="A35" t="b">
        <v>1</v>
      </c>
      <c r="B35" t="s">
        <v>26</v>
      </c>
      <c r="C35">
        <v>111</v>
      </c>
      <c r="E35" t="s">
        <v>38</v>
      </c>
      <c r="F35" t="s">
        <v>27</v>
      </c>
      <c r="G35" t="str">
        <f>INDEX('User Inputs'!$G$3:$G$14,MATCH(1,'User Inputs'!$J$3:$J$14,0))</f>
        <v>2026M05</v>
      </c>
      <c r="H35" t="s">
        <v>29</v>
      </c>
      <c r="I35">
        <v>614100</v>
      </c>
      <c r="J35" t="s">
        <v>41</v>
      </c>
      <c r="K35" t="s">
        <v>31</v>
      </c>
      <c r="L35" t="s">
        <v>32</v>
      </c>
      <c r="M35">
        <v>170</v>
      </c>
      <c r="N35" t="str">
        <f t="shared" si="0"/>
        <v>111_170</v>
      </c>
      <c r="O35" t="s">
        <v>31</v>
      </c>
      <c r="P35">
        <v>330500</v>
      </c>
      <c r="Q35" t="s">
        <v>31</v>
      </c>
      <c r="R35" t="s">
        <v>31</v>
      </c>
      <c r="S35" t="s">
        <v>31</v>
      </c>
      <c r="T35" t="s">
        <v>31</v>
      </c>
      <c r="U35">
        <f>_xll.OneStreamExcelAddIn.XFFunctions.XFGetCell(A35,B35,C35,D35,E35,F35,G35,H35,I35,J35,K35,L35,M35,N35,O35,P35,Q35,R35,S35,T35)</f>
        <v>0</v>
      </c>
    </row>
    <row r="36" spans="1:21">
      <c r="A36" t="b">
        <v>1</v>
      </c>
      <c r="B36" t="s">
        <v>26</v>
      </c>
      <c r="C36">
        <v>111</v>
      </c>
      <c r="E36" t="s">
        <v>38</v>
      </c>
      <c r="F36" t="s">
        <v>27</v>
      </c>
      <c r="G36" t="str">
        <f>INDEX('User Inputs'!$G$3:$G$14,MATCH(1,'User Inputs'!$J$3:$J$14,0))</f>
        <v>2026M05</v>
      </c>
      <c r="H36" t="s">
        <v>29</v>
      </c>
      <c r="I36">
        <v>614200</v>
      </c>
      <c r="J36" t="s">
        <v>41</v>
      </c>
      <c r="K36" t="s">
        <v>31</v>
      </c>
      <c r="L36" t="s">
        <v>32</v>
      </c>
      <c r="M36">
        <v>170</v>
      </c>
      <c r="N36" t="str">
        <f t="shared" si="0"/>
        <v>111_170</v>
      </c>
      <c r="O36" t="s">
        <v>31</v>
      </c>
      <c r="P36">
        <v>330610</v>
      </c>
      <c r="Q36" t="s">
        <v>31</v>
      </c>
      <c r="R36" t="s">
        <v>31</v>
      </c>
      <c r="S36" t="s">
        <v>31</v>
      </c>
      <c r="T36" t="s">
        <v>31</v>
      </c>
      <c r="U36">
        <f>_xll.OneStreamExcelAddIn.XFFunctions.XFGetCell(A36,B36,C36,D36,E36,F36,G36,H36,I36,J36,K36,L36,M36,N36,O36,P36,Q36,R36,S36,T36)</f>
        <v>0</v>
      </c>
    </row>
    <row r="37" spans="1:21">
      <c r="A37" t="b">
        <v>1</v>
      </c>
      <c r="B37" t="s">
        <v>26</v>
      </c>
      <c r="C37">
        <v>111</v>
      </c>
      <c r="E37" t="s">
        <v>38</v>
      </c>
      <c r="F37" t="s">
        <v>27</v>
      </c>
      <c r="G37" t="str">
        <f>INDEX('User Inputs'!$G$3:$G$14,MATCH(1,'User Inputs'!$J$3:$J$14,0))</f>
        <v>2026M05</v>
      </c>
      <c r="H37" t="s">
        <v>29</v>
      </c>
      <c r="I37">
        <v>614200</v>
      </c>
      <c r="J37" t="s">
        <v>41</v>
      </c>
      <c r="K37" t="s">
        <v>31</v>
      </c>
      <c r="L37" t="s">
        <v>32</v>
      </c>
      <c r="M37">
        <v>170</v>
      </c>
      <c r="N37" t="str">
        <f t="shared" si="0"/>
        <v>111_170</v>
      </c>
      <c r="O37" t="s">
        <v>31</v>
      </c>
      <c r="P37">
        <v>330600</v>
      </c>
      <c r="Q37" t="s">
        <v>31</v>
      </c>
      <c r="R37" t="s">
        <v>31</v>
      </c>
      <c r="S37" t="s">
        <v>31</v>
      </c>
      <c r="T37" t="s">
        <v>31</v>
      </c>
      <c r="U37">
        <f>_xll.OneStreamExcelAddIn.XFFunctions.XFGetCell(A37,B37,C37,D37,E37,F37,G37,H37,I37,J37,K37,L37,M37,N37,O37,P37,Q37,R37,S37,T37)</f>
        <v>0</v>
      </c>
    </row>
    <row r="38" spans="1:21">
      <c r="A38" t="b">
        <v>1</v>
      </c>
      <c r="B38" t="s">
        <v>26</v>
      </c>
      <c r="C38">
        <v>111</v>
      </c>
      <c r="E38" t="s">
        <v>38</v>
      </c>
      <c r="F38" t="s">
        <v>27</v>
      </c>
      <c r="G38" t="str">
        <f>INDEX('User Inputs'!$G$3:$G$14,MATCH(1,'User Inputs'!$J$3:$J$14,0))</f>
        <v>2026M05</v>
      </c>
      <c r="H38" t="s">
        <v>29</v>
      </c>
      <c r="I38">
        <v>614200</v>
      </c>
      <c r="J38" t="s">
        <v>41</v>
      </c>
      <c r="K38" t="s">
        <v>31</v>
      </c>
      <c r="L38" t="s">
        <v>32</v>
      </c>
      <c r="M38">
        <v>170</v>
      </c>
      <c r="N38" t="str">
        <f t="shared" si="0"/>
        <v>111_170</v>
      </c>
      <c r="O38" t="s">
        <v>31</v>
      </c>
      <c r="P38">
        <v>330620</v>
      </c>
      <c r="Q38" t="s">
        <v>31</v>
      </c>
      <c r="R38" t="s">
        <v>31</v>
      </c>
      <c r="S38" t="s">
        <v>31</v>
      </c>
      <c r="T38" t="s">
        <v>31</v>
      </c>
      <c r="U38">
        <f>_xll.OneStreamExcelAddIn.XFFunctions.XFGetCell(A38,B38,C38,D38,E38,F38,G38,H38,I38,J38,K38,L38,M38,N38,O38,P38,Q38,R38,S38,T38)</f>
        <v>0</v>
      </c>
    </row>
    <row r="39" spans="1:21">
      <c r="A39" t="b">
        <v>1</v>
      </c>
      <c r="B39" t="s">
        <v>26</v>
      </c>
      <c r="C39">
        <v>111</v>
      </c>
      <c r="E39" t="s">
        <v>38</v>
      </c>
      <c r="F39" t="s">
        <v>27</v>
      </c>
      <c r="G39" t="str">
        <f>INDEX('User Inputs'!$G$3:$G$14,MATCH(1,'User Inputs'!$J$3:$J$14,0))</f>
        <v>2026M05</v>
      </c>
      <c r="H39" t="s">
        <v>29</v>
      </c>
      <c r="I39">
        <v>614200</v>
      </c>
      <c r="J39" t="s">
        <v>41</v>
      </c>
      <c r="K39" t="s">
        <v>31</v>
      </c>
      <c r="L39" t="s">
        <v>32</v>
      </c>
      <c r="M39">
        <v>170</v>
      </c>
      <c r="N39" t="str">
        <f t="shared" si="0"/>
        <v>111_170</v>
      </c>
      <c r="O39" t="s">
        <v>31</v>
      </c>
      <c r="P39">
        <v>330630</v>
      </c>
      <c r="Q39" t="s">
        <v>31</v>
      </c>
      <c r="R39" t="s">
        <v>31</v>
      </c>
      <c r="S39" t="s">
        <v>31</v>
      </c>
      <c r="T39" t="s">
        <v>31</v>
      </c>
      <c r="U39">
        <f>_xll.OneStreamExcelAddIn.XFFunctions.XFGetCell(A39,B39,C39,D39,E39,F39,G39,H39,I39,J39,K39,L39,M39,N39,O39,P39,Q39,R39,S39,T39)</f>
        <v>0</v>
      </c>
    </row>
    <row r="40" spans="1:21">
      <c r="A40" t="b">
        <v>1</v>
      </c>
      <c r="B40" t="s">
        <v>26</v>
      </c>
      <c r="C40">
        <v>111</v>
      </c>
      <c r="E40" t="s">
        <v>38</v>
      </c>
      <c r="F40" t="s">
        <v>27</v>
      </c>
      <c r="G40" t="str">
        <f>INDEX('User Inputs'!$G$3:$G$14,MATCH(1,'User Inputs'!$J$3:$J$14,0))</f>
        <v>2026M05</v>
      </c>
      <c r="H40" t="s">
        <v>29</v>
      </c>
      <c r="I40">
        <v>616000</v>
      </c>
      <c r="J40" t="s">
        <v>41</v>
      </c>
      <c r="K40" t="s">
        <v>31</v>
      </c>
      <c r="L40" t="s">
        <v>32</v>
      </c>
      <c r="M40">
        <v>170</v>
      </c>
      <c r="N40" t="str">
        <f t="shared" si="0"/>
        <v>111_170</v>
      </c>
      <c r="O40" t="s">
        <v>31</v>
      </c>
      <c r="P40">
        <v>330710</v>
      </c>
      <c r="Q40" t="s">
        <v>31</v>
      </c>
      <c r="R40" t="s">
        <v>31</v>
      </c>
      <c r="S40" t="s">
        <v>31</v>
      </c>
      <c r="T40" t="s">
        <v>31</v>
      </c>
      <c r="U40">
        <f>_xll.OneStreamExcelAddIn.XFFunctions.XFGetCell(A40,B40,C40,D40,E40,F40,G40,H40,I40,J40,K40,L40,M40,N40,O40,P40,Q40,R40,S40,T40)</f>
        <v>0</v>
      </c>
    </row>
    <row r="41" spans="1:21">
      <c r="A41" t="b">
        <v>1</v>
      </c>
      <c r="B41" t="s">
        <v>26</v>
      </c>
      <c r="C41">
        <v>111</v>
      </c>
      <c r="E41" t="s">
        <v>38</v>
      </c>
      <c r="F41" t="s">
        <v>27</v>
      </c>
      <c r="G41" t="str">
        <f>INDEX('User Inputs'!$G$3:$G$14,MATCH(1,'User Inputs'!$J$3:$J$14,0))</f>
        <v>2026M05</v>
      </c>
      <c r="H41" t="s">
        <v>29</v>
      </c>
      <c r="I41">
        <v>616000</v>
      </c>
      <c r="J41" t="s">
        <v>41</v>
      </c>
      <c r="K41" t="s">
        <v>31</v>
      </c>
      <c r="L41" t="s">
        <v>32</v>
      </c>
      <c r="M41">
        <v>170</v>
      </c>
      <c r="N41" t="str">
        <f t="shared" si="0"/>
        <v>111_170</v>
      </c>
      <c r="O41" t="s">
        <v>31</v>
      </c>
      <c r="P41">
        <v>330700</v>
      </c>
      <c r="Q41" t="s">
        <v>31</v>
      </c>
      <c r="R41" t="s">
        <v>31</v>
      </c>
      <c r="S41" t="s">
        <v>31</v>
      </c>
      <c r="T41" t="s">
        <v>31</v>
      </c>
      <c r="U41">
        <f>_xll.OneStreamExcelAddIn.XFFunctions.XFGetCell(A41,B41,C41,D41,E41,F41,G41,H41,I41,J41,K41,L41,M41,N41,O41,P41,Q41,R41,S41,T41)</f>
        <v>0</v>
      </c>
    </row>
    <row r="42" spans="1:21">
      <c r="A42" t="b">
        <v>1</v>
      </c>
      <c r="B42" t="s">
        <v>26</v>
      </c>
      <c r="C42">
        <v>111</v>
      </c>
      <c r="E42" t="s">
        <v>38</v>
      </c>
      <c r="F42" t="s">
        <v>27</v>
      </c>
      <c r="G42" t="str">
        <f>INDEX('User Inputs'!$G$3:$G$14,MATCH(1,'User Inputs'!$J$3:$J$14,0))</f>
        <v>2026M05</v>
      </c>
      <c r="H42" t="s">
        <v>29</v>
      </c>
      <c r="I42">
        <v>618000</v>
      </c>
      <c r="J42" t="s">
        <v>41</v>
      </c>
      <c r="K42" t="s">
        <v>31</v>
      </c>
      <c r="L42" t="s">
        <v>32</v>
      </c>
      <c r="M42">
        <v>170</v>
      </c>
      <c r="N42" t="str">
        <f t="shared" si="0"/>
        <v>111_170</v>
      </c>
      <c r="O42" t="s">
        <v>31</v>
      </c>
      <c r="P42">
        <v>330800</v>
      </c>
      <c r="Q42" t="s">
        <v>31</v>
      </c>
      <c r="R42" t="s">
        <v>31</v>
      </c>
      <c r="S42" t="s">
        <v>31</v>
      </c>
      <c r="T42" t="s">
        <v>31</v>
      </c>
      <c r="U42">
        <f>_xll.OneStreamExcelAddIn.XFFunctions.XFGetCell(A42,B42,C42,D42,E42,F42,G42,H42,I42,J42,K42,L42,M42,N42,O42,P42,Q42,R42,S42,T42)</f>
        <v>0</v>
      </c>
    </row>
    <row r="43" spans="1:21">
      <c r="A43" t="b">
        <v>1</v>
      </c>
      <c r="B43" t="s">
        <v>26</v>
      </c>
      <c r="C43">
        <v>111</v>
      </c>
      <c r="E43" t="s">
        <v>38</v>
      </c>
      <c r="F43" t="s">
        <v>27</v>
      </c>
      <c r="G43" t="str">
        <f>INDEX('User Inputs'!$G$3:$G$14,MATCH(1,'User Inputs'!$J$3:$J$14,0))</f>
        <v>2026M05</v>
      </c>
      <c r="H43" t="s">
        <v>29</v>
      </c>
      <c r="I43">
        <v>618050</v>
      </c>
      <c r="J43" t="s">
        <v>41</v>
      </c>
      <c r="K43" t="s">
        <v>31</v>
      </c>
      <c r="L43" t="s">
        <v>32</v>
      </c>
      <c r="M43">
        <v>170</v>
      </c>
      <c r="N43" t="str">
        <f t="shared" si="0"/>
        <v>111_170</v>
      </c>
      <c r="O43" t="s">
        <v>31</v>
      </c>
      <c r="P43">
        <v>330900</v>
      </c>
      <c r="Q43" t="s">
        <v>31</v>
      </c>
      <c r="R43" t="s">
        <v>31</v>
      </c>
      <c r="S43" t="s">
        <v>31</v>
      </c>
      <c r="T43" t="s">
        <v>31</v>
      </c>
      <c r="U43">
        <f>_xll.OneStreamExcelAddIn.XFFunctions.XFGetCell(A43,B43,C43,D43,E43,F43,G43,H43,I43,J43,K43,L43,M43,N43,O43,P43,Q43,R43,S43,T43)</f>
        <v>0</v>
      </c>
    </row>
    <row r="44" spans="1:21">
      <c r="A44" t="b">
        <v>1</v>
      </c>
      <c r="B44" t="s">
        <v>26</v>
      </c>
      <c r="C44">
        <v>111</v>
      </c>
      <c r="E44" t="s">
        <v>38</v>
      </c>
      <c r="F44" t="s">
        <v>27</v>
      </c>
      <c r="G44" t="str">
        <f>INDEX('User Inputs'!$G$3:$G$14,MATCH(1,'User Inputs'!$J$3:$J$14,0))</f>
        <v>2026M05</v>
      </c>
      <c r="H44" t="s">
        <v>29</v>
      </c>
      <c r="I44">
        <v>618050</v>
      </c>
      <c r="J44" t="s">
        <v>41</v>
      </c>
      <c r="K44" t="s">
        <v>31</v>
      </c>
      <c r="L44" t="s">
        <v>32</v>
      </c>
      <c r="M44">
        <v>170</v>
      </c>
      <c r="N44" t="str">
        <f t="shared" si="0"/>
        <v>111_170</v>
      </c>
      <c r="O44" t="s">
        <v>31</v>
      </c>
      <c r="P44">
        <v>330910</v>
      </c>
      <c r="Q44" t="s">
        <v>31</v>
      </c>
      <c r="R44" t="s">
        <v>31</v>
      </c>
      <c r="S44" t="s">
        <v>31</v>
      </c>
      <c r="T44" t="s">
        <v>31</v>
      </c>
      <c r="U44">
        <f>_xll.OneStreamExcelAddIn.XFFunctions.XFGetCell(A44,B44,C44,D44,E44,F44,G44,H44,I44,J44,K44,L44,M44,N44,O44,P44,Q44,R44,S44,T44)</f>
        <v>0</v>
      </c>
    </row>
    <row r="45" spans="1:21">
      <c r="A45" t="b">
        <v>1</v>
      </c>
      <c r="B45" t="s">
        <v>26</v>
      </c>
      <c r="C45">
        <v>111</v>
      </c>
      <c r="E45" t="s">
        <v>38</v>
      </c>
      <c r="F45" t="s">
        <v>27</v>
      </c>
      <c r="G45" t="str">
        <f>INDEX('User Inputs'!$G$3:$G$14,MATCH(1,'User Inputs'!$J$3:$J$14,0))</f>
        <v>2026M05</v>
      </c>
      <c r="H45" t="s">
        <v>29</v>
      </c>
      <c r="I45">
        <v>618200</v>
      </c>
      <c r="J45" t="s">
        <v>41</v>
      </c>
      <c r="K45" t="s">
        <v>31</v>
      </c>
      <c r="L45" t="s">
        <v>32</v>
      </c>
      <c r="M45">
        <v>170</v>
      </c>
      <c r="N45" t="str">
        <f t="shared" si="0"/>
        <v>111_170</v>
      </c>
      <c r="O45" t="s">
        <v>31</v>
      </c>
      <c r="P45">
        <v>330920</v>
      </c>
      <c r="Q45" t="s">
        <v>31</v>
      </c>
      <c r="R45" t="s">
        <v>31</v>
      </c>
      <c r="S45" t="s">
        <v>31</v>
      </c>
      <c r="T45" t="s">
        <v>31</v>
      </c>
      <c r="U45">
        <f>_xll.OneStreamExcelAddIn.XFFunctions.XFGetCell(A45,B45,C45,D45,E45,F45,G45,H45,I45,J45,K45,L45,M45,N45,O45,P45,Q45,R45,S45,T45)</f>
        <v>0</v>
      </c>
    </row>
    <row r="46" spans="1:21">
      <c r="A46" t="b">
        <v>1</v>
      </c>
      <c r="B46" t="s">
        <v>26</v>
      </c>
      <c r="C46">
        <v>111</v>
      </c>
      <c r="E46" t="s">
        <v>38</v>
      </c>
      <c r="F46" t="s">
        <v>27</v>
      </c>
      <c r="G46" t="str">
        <f>INDEX('User Inputs'!$G$3:$G$14,MATCH(1,'User Inputs'!$J$3:$J$14,0))</f>
        <v>2026M05</v>
      </c>
      <c r="H46" t="s">
        <v>29</v>
      </c>
      <c r="I46">
        <v>618250</v>
      </c>
      <c r="J46" t="s">
        <v>41</v>
      </c>
      <c r="K46" t="s">
        <v>31</v>
      </c>
      <c r="L46" t="s">
        <v>32</v>
      </c>
      <c r="M46">
        <v>170</v>
      </c>
      <c r="N46" t="str">
        <f t="shared" si="0"/>
        <v>111_170</v>
      </c>
      <c r="O46" t="s">
        <v>31</v>
      </c>
      <c r="P46">
        <v>331020</v>
      </c>
      <c r="Q46" t="s">
        <v>31</v>
      </c>
      <c r="R46" t="s">
        <v>31</v>
      </c>
      <c r="S46" t="s">
        <v>31</v>
      </c>
      <c r="T46" t="s">
        <v>31</v>
      </c>
      <c r="U46">
        <f>_xll.OneStreamExcelAddIn.XFFunctions.XFGetCell(A46,B46,C46,D46,E46,F46,G46,H46,I46,J46,K46,L46,M46,N46,O46,P46,Q46,R46,S46,T46)</f>
        <v>0</v>
      </c>
    </row>
    <row r="47" spans="1:21">
      <c r="A47" t="b">
        <v>1</v>
      </c>
      <c r="B47" t="s">
        <v>26</v>
      </c>
      <c r="C47">
        <v>111</v>
      </c>
      <c r="E47" t="s">
        <v>38</v>
      </c>
      <c r="F47" t="s">
        <v>27</v>
      </c>
      <c r="G47" t="str">
        <f>INDEX('User Inputs'!$G$3:$G$14,MATCH(1,'User Inputs'!$J$3:$J$14,0))</f>
        <v>2026M05</v>
      </c>
      <c r="H47" t="s">
        <v>29</v>
      </c>
      <c r="I47">
        <v>618250</v>
      </c>
      <c r="J47" t="s">
        <v>41</v>
      </c>
      <c r="K47" t="s">
        <v>31</v>
      </c>
      <c r="L47" t="s">
        <v>32</v>
      </c>
      <c r="M47">
        <v>170</v>
      </c>
      <c r="N47" t="str">
        <f t="shared" si="0"/>
        <v>111_170</v>
      </c>
      <c r="O47" t="s">
        <v>31</v>
      </c>
      <c r="P47">
        <v>331000</v>
      </c>
      <c r="Q47" t="s">
        <v>31</v>
      </c>
      <c r="R47" t="s">
        <v>31</v>
      </c>
      <c r="S47" t="s">
        <v>31</v>
      </c>
      <c r="T47" t="s">
        <v>31</v>
      </c>
      <c r="U47">
        <f>_xll.OneStreamExcelAddIn.XFFunctions.XFGetCell(A47,B47,C47,D47,E47,F47,G47,H47,I47,J47,K47,L47,M47,N47,O47,P47,Q47,R47,S47,T47)</f>
        <v>246342</v>
      </c>
    </row>
    <row r="48" spans="1:21">
      <c r="A48" t="b">
        <v>1</v>
      </c>
      <c r="B48" t="s">
        <v>26</v>
      </c>
      <c r="C48">
        <v>111</v>
      </c>
      <c r="E48" t="s">
        <v>38</v>
      </c>
      <c r="F48" t="s">
        <v>27</v>
      </c>
      <c r="G48" t="str">
        <f>INDEX('User Inputs'!$G$3:$G$14,MATCH(1,'User Inputs'!$J$3:$J$14,0))</f>
        <v>2026M05</v>
      </c>
      <c r="H48" t="s">
        <v>29</v>
      </c>
      <c r="I48">
        <v>618250</v>
      </c>
      <c r="J48" t="s">
        <v>41</v>
      </c>
      <c r="K48" t="s">
        <v>31</v>
      </c>
      <c r="L48" t="s">
        <v>32</v>
      </c>
      <c r="M48">
        <v>170</v>
      </c>
      <c r="N48" t="str">
        <f t="shared" si="0"/>
        <v>111_170</v>
      </c>
      <c r="O48" t="s">
        <v>31</v>
      </c>
      <c r="P48">
        <v>331050</v>
      </c>
      <c r="Q48" t="s">
        <v>31</v>
      </c>
      <c r="R48" t="s">
        <v>31</v>
      </c>
      <c r="S48" t="s">
        <v>31</v>
      </c>
      <c r="T48" t="s">
        <v>31</v>
      </c>
      <c r="U48">
        <f>_xll.OneStreamExcelAddIn.XFFunctions.XFGetCell(A48,B48,C48,D48,E48,F48,G48,H48,I48,J48,K48,L48,M48,N48,O48,P48,Q48,R48,S48,T48)</f>
        <v>1858762.99</v>
      </c>
    </row>
    <row r="49" spans="1:21">
      <c r="A49" t="b">
        <v>1</v>
      </c>
      <c r="B49" t="s">
        <v>26</v>
      </c>
      <c r="C49">
        <v>111</v>
      </c>
      <c r="E49" t="s">
        <v>38</v>
      </c>
      <c r="F49" t="s">
        <v>27</v>
      </c>
      <c r="G49" t="str">
        <f>INDEX('User Inputs'!$G$3:$G$14,MATCH(1,'User Inputs'!$J$3:$J$14,0))</f>
        <v>2026M05</v>
      </c>
      <c r="H49" t="s">
        <v>29</v>
      </c>
      <c r="I49">
        <v>618250</v>
      </c>
      <c r="J49" t="s">
        <v>41</v>
      </c>
      <c r="K49" t="s">
        <v>31</v>
      </c>
      <c r="L49" t="s">
        <v>32</v>
      </c>
      <c r="M49">
        <v>170</v>
      </c>
      <c r="N49" t="str">
        <f t="shared" si="0"/>
        <v>111_170</v>
      </c>
      <c r="O49" t="s">
        <v>31</v>
      </c>
      <c r="P49">
        <v>331040</v>
      </c>
      <c r="Q49" t="s">
        <v>31</v>
      </c>
      <c r="R49" t="s">
        <v>31</v>
      </c>
      <c r="S49" t="s">
        <v>31</v>
      </c>
      <c r="T49" t="s">
        <v>31</v>
      </c>
      <c r="U49">
        <f>_xll.OneStreamExcelAddIn.XFFunctions.XFGetCell(A49,B49,C49,D49,E49,F49,G49,H49,I49,J49,K49,L49,M49,N49,O49,P49,Q49,R49,S49,T49)</f>
        <v>0</v>
      </c>
    </row>
    <row r="50" spans="1:21">
      <c r="A50" t="b">
        <v>1</v>
      </c>
      <c r="B50" t="s">
        <v>26</v>
      </c>
      <c r="C50">
        <v>111</v>
      </c>
      <c r="E50" t="s">
        <v>38</v>
      </c>
      <c r="F50" t="s">
        <v>27</v>
      </c>
      <c r="G50" t="str">
        <f>INDEX('User Inputs'!$G$3:$G$14,MATCH(1,'User Inputs'!$J$3:$J$14,0))</f>
        <v>2026M05</v>
      </c>
      <c r="H50" t="s">
        <v>29</v>
      </c>
      <c r="I50">
        <v>618250</v>
      </c>
      <c r="J50" t="s">
        <v>41</v>
      </c>
      <c r="K50" t="s">
        <v>31</v>
      </c>
      <c r="L50" t="s">
        <v>32</v>
      </c>
      <c r="M50">
        <v>170</v>
      </c>
      <c r="N50" t="str">
        <f t="shared" si="0"/>
        <v>111_170</v>
      </c>
      <c r="O50" t="s">
        <v>31</v>
      </c>
      <c r="P50">
        <v>331030</v>
      </c>
      <c r="Q50" t="s">
        <v>31</v>
      </c>
      <c r="R50" t="s">
        <v>31</v>
      </c>
      <c r="S50" t="s">
        <v>31</v>
      </c>
      <c r="T50" t="s">
        <v>31</v>
      </c>
      <c r="U50">
        <f>_xll.OneStreamExcelAddIn.XFFunctions.XFGetCell(A50,B50,C50,D50,E50,F50,G50,H50,I50,J50,K50,L50,M50,N50,O50,P50,Q50,R50,S50,T50)</f>
        <v>64480</v>
      </c>
    </row>
    <row r="51" spans="1:21">
      <c r="A51" t="b">
        <v>1</v>
      </c>
      <c r="B51" t="s">
        <v>26</v>
      </c>
      <c r="C51">
        <v>111</v>
      </c>
      <c r="E51" t="s">
        <v>38</v>
      </c>
      <c r="F51" t="s">
        <v>27</v>
      </c>
      <c r="G51" t="str">
        <f>INDEX('User Inputs'!$G$3:$G$14,MATCH(1,'User Inputs'!$J$3:$J$14,0))</f>
        <v>2026M05</v>
      </c>
      <c r="H51" t="s">
        <v>29</v>
      </c>
      <c r="I51">
        <v>618250</v>
      </c>
      <c r="J51" t="s">
        <v>41</v>
      </c>
      <c r="K51" t="s">
        <v>31</v>
      </c>
      <c r="L51" t="s">
        <v>32</v>
      </c>
      <c r="M51">
        <v>170</v>
      </c>
      <c r="N51" t="str">
        <f t="shared" si="0"/>
        <v>111_170</v>
      </c>
      <c r="O51" t="s">
        <v>31</v>
      </c>
      <c r="P51">
        <v>331010</v>
      </c>
      <c r="Q51" t="s">
        <v>31</v>
      </c>
      <c r="R51" t="s">
        <v>31</v>
      </c>
      <c r="S51" t="s">
        <v>31</v>
      </c>
      <c r="T51" t="s">
        <v>31</v>
      </c>
      <c r="U51">
        <f>_xll.OneStreamExcelAddIn.XFFunctions.XFGetCell(A51,B51,C51,D51,E51,F51,G51,H51,I51,J51,K51,L51,M51,N51,O51,P51,Q51,R51,S51,T51)</f>
        <v>0</v>
      </c>
    </row>
    <row r="52" spans="1:21">
      <c r="A52" t="b">
        <v>1</v>
      </c>
      <c r="B52" t="s">
        <v>26</v>
      </c>
      <c r="C52">
        <v>111</v>
      </c>
      <c r="E52" t="s">
        <v>38</v>
      </c>
      <c r="F52" t="s">
        <v>27</v>
      </c>
      <c r="G52" t="str">
        <f>INDEX('User Inputs'!$G$3:$G$14,MATCH(1,'User Inputs'!$J$3:$J$14,0))</f>
        <v>2026M05</v>
      </c>
      <c r="H52" t="s">
        <v>29</v>
      </c>
      <c r="I52">
        <v>618300</v>
      </c>
      <c r="J52" t="s">
        <v>41</v>
      </c>
      <c r="K52" t="s">
        <v>31</v>
      </c>
      <c r="L52" t="s">
        <v>32</v>
      </c>
      <c r="M52">
        <v>170</v>
      </c>
      <c r="N52" t="str">
        <f t="shared" si="0"/>
        <v>111_170</v>
      </c>
      <c r="O52" t="s">
        <v>31</v>
      </c>
      <c r="P52">
        <v>331200</v>
      </c>
      <c r="Q52" t="s">
        <v>31</v>
      </c>
      <c r="R52" t="s">
        <v>31</v>
      </c>
      <c r="S52" t="s">
        <v>31</v>
      </c>
      <c r="T52" t="s">
        <v>31</v>
      </c>
      <c r="U52">
        <f>_xll.OneStreamExcelAddIn.XFFunctions.XFGetCell(A52,B52,C52,D52,E52,F52,G52,H52,I52,J52,K52,L52,M52,N52,O52,P52,Q52,R52,S52,T52)</f>
        <v>385000</v>
      </c>
    </row>
    <row r="53" spans="1:21">
      <c r="A53" t="b">
        <v>1</v>
      </c>
      <c r="B53" t="s">
        <v>26</v>
      </c>
      <c r="C53">
        <v>111</v>
      </c>
      <c r="E53" t="s">
        <v>38</v>
      </c>
      <c r="F53" t="s">
        <v>27</v>
      </c>
      <c r="G53" t="str">
        <f>INDEX('User Inputs'!$G$3:$G$14,MATCH(1,'User Inputs'!$J$3:$J$14,0))</f>
        <v>2026M05</v>
      </c>
      <c r="H53" t="s">
        <v>29</v>
      </c>
      <c r="I53">
        <v>618300</v>
      </c>
      <c r="J53" t="s">
        <v>41</v>
      </c>
      <c r="K53" t="s">
        <v>31</v>
      </c>
      <c r="L53" t="s">
        <v>32</v>
      </c>
      <c r="M53">
        <v>170</v>
      </c>
      <c r="N53" t="str">
        <f t="shared" si="0"/>
        <v>111_170</v>
      </c>
      <c r="O53" t="s">
        <v>31</v>
      </c>
      <c r="P53">
        <v>331240</v>
      </c>
      <c r="Q53" t="s">
        <v>31</v>
      </c>
      <c r="R53" t="s">
        <v>31</v>
      </c>
      <c r="S53" t="s">
        <v>31</v>
      </c>
      <c r="T53" t="s">
        <v>31</v>
      </c>
      <c r="U53">
        <f>_xll.OneStreamExcelAddIn.XFFunctions.XFGetCell(A53,B53,C53,D53,E53,F53,G53,H53,I53,J53,K53,L53,M53,N53,O53,P53,Q53,R53,S53,T53)</f>
        <v>0</v>
      </c>
    </row>
    <row r="54" spans="1:21">
      <c r="A54" t="b">
        <v>1</v>
      </c>
      <c r="B54" t="s">
        <v>26</v>
      </c>
      <c r="C54">
        <v>111</v>
      </c>
      <c r="E54" t="s">
        <v>38</v>
      </c>
      <c r="F54" t="s">
        <v>27</v>
      </c>
      <c r="G54" t="str">
        <f>INDEX('User Inputs'!$G$3:$G$14,MATCH(1,'User Inputs'!$J$3:$J$14,0))</f>
        <v>2026M05</v>
      </c>
      <c r="H54" t="s">
        <v>29</v>
      </c>
      <c r="I54">
        <v>618300</v>
      </c>
      <c r="J54" t="s">
        <v>41</v>
      </c>
      <c r="K54" t="s">
        <v>31</v>
      </c>
      <c r="L54" t="s">
        <v>32</v>
      </c>
      <c r="M54">
        <v>170</v>
      </c>
      <c r="N54" t="str">
        <f t="shared" si="0"/>
        <v>111_170</v>
      </c>
      <c r="O54" t="s">
        <v>31</v>
      </c>
      <c r="P54">
        <v>331230</v>
      </c>
      <c r="Q54" t="s">
        <v>31</v>
      </c>
      <c r="R54" t="s">
        <v>31</v>
      </c>
      <c r="S54" t="s">
        <v>31</v>
      </c>
      <c r="T54" t="s">
        <v>31</v>
      </c>
      <c r="U54">
        <f>_xll.OneStreamExcelAddIn.XFFunctions.XFGetCell(A54,B54,C54,D54,E54,F54,G54,H54,I54,J54,K54,L54,M54,N54,O54,P54,Q54,R54,S54,T54)</f>
        <v>0</v>
      </c>
    </row>
    <row r="55" spans="1:21">
      <c r="A55" t="b">
        <v>1</v>
      </c>
      <c r="B55" t="s">
        <v>26</v>
      </c>
      <c r="C55">
        <v>111</v>
      </c>
      <c r="E55" t="s">
        <v>38</v>
      </c>
      <c r="F55" t="s">
        <v>27</v>
      </c>
      <c r="G55" t="str">
        <f>INDEX('User Inputs'!$G$3:$G$14,MATCH(1,'User Inputs'!$J$3:$J$14,0))</f>
        <v>2026M05</v>
      </c>
      <c r="H55" t="s">
        <v>29</v>
      </c>
      <c r="I55">
        <v>618300</v>
      </c>
      <c r="J55" t="s">
        <v>41</v>
      </c>
      <c r="K55" t="s">
        <v>31</v>
      </c>
      <c r="L55" t="s">
        <v>32</v>
      </c>
      <c r="M55">
        <v>170</v>
      </c>
      <c r="N55" t="str">
        <f t="shared" si="0"/>
        <v>111_170</v>
      </c>
      <c r="O55" t="s">
        <v>31</v>
      </c>
      <c r="P55">
        <v>331220</v>
      </c>
      <c r="Q55" t="s">
        <v>31</v>
      </c>
      <c r="R55" t="s">
        <v>31</v>
      </c>
      <c r="S55" t="s">
        <v>31</v>
      </c>
      <c r="T55" t="s">
        <v>31</v>
      </c>
      <c r="U55">
        <f>_xll.OneStreamExcelAddIn.XFFunctions.XFGetCell(A55,B55,C55,D55,E55,F55,G55,H55,I55,J55,K55,L55,M55,N55,O55,P55,Q55,R55,S55,T55)</f>
        <v>0</v>
      </c>
    </row>
    <row r="56" spans="1:21">
      <c r="A56" t="b">
        <v>1</v>
      </c>
      <c r="B56" t="s">
        <v>26</v>
      </c>
      <c r="C56">
        <v>111</v>
      </c>
      <c r="E56" t="s">
        <v>38</v>
      </c>
      <c r="F56" t="s">
        <v>27</v>
      </c>
      <c r="G56" t="str">
        <f>INDEX('User Inputs'!$G$3:$G$14,MATCH(1,'User Inputs'!$J$3:$J$14,0))</f>
        <v>2026M05</v>
      </c>
      <c r="H56" t="s">
        <v>29</v>
      </c>
      <c r="I56">
        <v>618300</v>
      </c>
      <c r="J56" t="s">
        <v>41</v>
      </c>
      <c r="K56" t="s">
        <v>31</v>
      </c>
      <c r="L56" t="s">
        <v>32</v>
      </c>
      <c r="M56">
        <v>170</v>
      </c>
      <c r="N56" t="str">
        <f t="shared" si="0"/>
        <v>111_170</v>
      </c>
      <c r="O56" t="s">
        <v>31</v>
      </c>
      <c r="P56">
        <v>331210</v>
      </c>
      <c r="Q56" t="s">
        <v>31</v>
      </c>
      <c r="R56" t="s">
        <v>31</v>
      </c>
      <c r="S56" t="s">
        <v>31</v>
      </c>
      <c r="T56" t="s">
        <v>31</v>
      </c>
      <c r="U56">
        <f>_xll.OneStreamExcelAddIn.XFFunctions.XFGetCell(A56,B56,C56,D56,E56,F56,G56,H56,I56,J56,K56,L56,M56,N56,O56,P56,Q56,R56,S56,T56)</f>
        <v>0</v>
      </c>
    </row>
    <row r="57" spans="1:21">
      <c r="A57" t="b">
        <v>1</v>
      </c>
      <c r="B57" t="s">
        <v>26</v>
      </c>
      <c r="C57">
        <v>111</v>
      </c>
      <c r="E57" t="s">
        <v>38</v>
      </c>
      <c r="F57" t="s">
        <v>27</v>
      </c>
      <c r="G57" t="str">
        <f>INDEX('User Inputs'!$G$3:$G$14,MATCH(1,'User Inputs'!$J$3:$J$14,0))</f>
        <v>2026M05</v>
      </c>
      <c r="H57" t="s">
        <v>29</v>
      </c>
      <c r="I57">
        <v>618300</v>
      </c>
      <c r="J57" t="s">
        <v>41</v>
      </c>
      <c r="K57" t="s">
        <v>31</v>
      </c>
      <c r="L57" t="s">
        <v>32</v>
      </c>
      <c r="M57">
        <v>170</v>
      </c>
      <c r="N57" t="str">
        <f t="shared" si="0"/>
        <v>111_170</v>
      </c>
      <c r="O57" t="s">
        <v>31</v>
      </c>
      <c r="P57">
        <v>331250</v>
      </c>
      <c r="Q57" t="s">
        <v>31</v>
      </c>
      <c r="R57" t="s">
        <v>31</v>
      </c>
      <c r="S57" t="s">
        <v>31</v>
      </c>
      <c r="T57" t="s">
        <v>31</v>
      </c>
      <c r="U57">
        <f>_xll.OneStreamExcelAddIn.XFFunctions.XFGetCell(A57,B57,C57,D57,E57,F57,G57,H57,I57,J57,K57,L57,M57,N57,O57,P57,Q57,R57,S57,T57)</f>
        <v>0</v>
      </c>
    </row>
    <row r="58" spans="1:21">
      <c r="A58" t="b">
        <v>1</v>
      </c>
      <c r="B58" t="s">
        <v>26</v>
      </c>
      <c r="C58">
        <v>111</v>
      </c>
      <c r="E58" t="s">
        <v>38</v>
      </c>
      <c r="F58" t="s">
        <v>27</v>
      </c>
      <c r="G58" t="str">
        <f>INDEX('User Inputs'!$G$3:$G$14,MATCH(1,'User Inputs'!$J$3:$J$14,0))</f>
        <v>2026M05</v>
      </c>
      <c r="H58" t="s">
        <v>29</v>
      </c>
      <c r="I58">
        <v>618350</v>
      </c>
      <c r="J58" t="s">
        <v>41</v>
      </c>
      <c r="K58" t="s">
        <v>31</v>
      </c>
      <c r="L58" t="s">
        <v>32</v>
      </c>
      <c r="M58">
        <v>170</v>
      </c>
      <c r="N58" t="str">
        <f t="shared" si="0"/>
        <v>111_170</v>
      </c>
      <c r="O58" t="s">
        <v>31</v>
      </c>
      <c r="P58">
        <v>331300</v>
      </c>
      <c r="Q58" t="s">
        <v>31</v>
      </c>
      <c r="R58" t="s">
        <v>31</v>
      </c>
      <c r="S58" t="s">
        <v>31</v>
      </c>
      <c r="T58" t="s">
        <v>31</v>
      </c>
      <c r="U58">
        <f>_xll.OneStreamExcelAddIn.XFFunctions.XFGetCell(A58,B58,C58,D58,E58,F58,G58,H58,I58,J58,K58,L58,M58,N58,O58,P58,Q58,R58,S58,T58)</f>
        <v>0</v>
      </c>
    </row>
    <row r="59" spans="1:21">
      <c r="A59" t="b">
        <v>1</v>
      </c>
      <c r="B59" t="s">
        <v>26</v>
      </c>
      <c r="C59">
        <v>111</v>
      </c>
      <c r="E59" t="s">
        <v>38</v>
      </c>
      <c r="F59" t="s">
        <v>27</v>
      </c>
      <c r="G59" t="str">
        <f>INDEX('User Inputs'!$G$3:$G$14,MATCH(1,'User Inputs'!$J$3:$J$14,0))</f>
        <v>2026M05</v>
      </c>
      <c r="H59" t="s">
        <v>29</v>
      </c>
      <c r="I59">
        <v>626088</v>
      </c>
      <c r="J59" t="s">
        <v>41</v>
      </c>
      <c r="K59" t="s">
        <v>31</v>
      </c>
      <c r="L59" t="s">
        <v>32</v>
      </c>
      <c r="M59">
        <v>170</v>
      </c>
      <c r="N59" t="str">
        <f t="shared" si="0"/>
        <v>111_170</v>
      </c>
      <c r="O59" t="s">
        <v>31</v>
      </c>
      <c r="P59" s="9" t="s">
        <v>31</v>
      </c>
      <c r="Q59" t="s">
        <v>31</v>
      </c>
      <c r="R59" t="s">
        <v>31</v>
      </c>
      <c r="S59" t="s">
        <v>31</v>
      </c>
      <c r="T59" t="s">
        <v>31</v>
      </c>
      <c r="U59">
        <f>_xll.OneStreamExcelAddIn.XFFunctions.XFGetCell(A59,B59,C59,D59,E59,F59,G59,H59,I59,J59,K59,L59,M59,N59,O59,P59,Q59,R59,S59,T59)</f>
        <v>0</v>
      </c>
    </row>
    <row r="60" spans="1:21">
      <c r="A60" t="b">
        <v>1</v>
      </c>
      <c r="B60" t="s">
        <v>26</v>
      </c>
      <c r="C60">
        <v>111</v>
      </c>
      <c r="E60" t="s">
        <v>38</v>
      </c>
      <c r="F60" t="s">
        <v>27</v>
      </c>
      <c r="G60" t="str">
        <f>INDEX('User Inputs'!$G$3:$G$14,MATCH(1,'User Inputs'!$J$3:$J$14,0))</f>
        <v>2026M05</v>
      </c>
      <c r="H60" t="s">
        <v>29</v>
      </c>
      <c r="I60">
        <v>629999</v>
      </c>
      <c r="J60" t="s">
        <v>41</v>
      </c>
      <c r="K60" t="s">
        <v>31</v>
      </c>
      <c r="L60" t="s">
        <v>32</v>
      </c>
      <c r="M60">
        <v>170</v>
      </c>
      <c r="N60" t="str">
        <f t="shared" si="0"/>
        <v>111_170</v>
      </c>
      <c r="O60" t="s">
        <v>31</v>
      </c>
      <c r="P60">
        <v>331100</v>
      </c>
      <c r="Q60" t="s">
        <v>31</v>
      </c>
      <c r="R60" t="s">
        <v>31</v>
      </c>
      <c r="S60" t="s">
        <v>31</v>
      </c>
      <c r="T60" t="s">
        <v>31</v>
      </c>
      <c r="U60">
        <f>_xll.OneStreamExcelAddIn.XFFunctions.XFGetCell(A60,B60,C60,D60,E60,F60,G60,H60,I60,J60,K60,L60,M60,N60,O60,P60,Q60,R60,S60,T60)</f>
        <v>0</v>
      </c>
    </row>
    <row r="61" spans="1:21">
      <c r="A61" t="b">
        <v>1</v>
      </c>
      <c r="B61" t="s">
        <v>26</v>
      </c>
      <c r="C61">
        <v>111</v>
      </c>
      <c r="E61" t="s">
        <v>38</v>
      </c>
      <c r="F61" t="s">
        <v>27</v>
      </c>
      <c r="G61" t="str">
        <f>INDEX('User Inputs'!$G$3:$G$14,MATCH(1,'User Inputs'!$J$3:$J$14,0))</f>
        <v>2026M05</v>
      </c>
      <c r="H61" t="s">
        <v>29</v>
      </c>
      <c r="I61">
        <v>611000</v>
      </c>
      <c r="J61" t="s">
        <v>41</v>
      </c>
      <c r="K61" t="s">
        <v>31</v>
      </c>
      <c r="L61" t="s">
        <v>32</v>
      </c>
      <c r="M61">
        <v>171</v>
      </c>
      <c r="N61" t="str">
        <f t="shared" si="0"/>
        <v>111_171</v>
      </c>
      <c r="O61" t="s">
        <v>31</v>
      </c>
      <c r="P61">
        <v>330130</v>
      </c>
      <c r="Q61" t="s">
        <v>31</v>
      </c>
      <c r="R61" t="s">
        <v>31</v>
      </c>
      <c r="S61" t="s">
        <v>31</v>
      </c>
      <c r="T61" t="s">
        <v>31</v>
      </c>
      <c r="U61">
        <f>_xll.OneStreamExcelAddIn.XFFunctions.XFGetCell(A61,B61,C61,D61,E61,F61,G61,H61,I61,J61,K61,L61,M61,N61,O61,P61,Q61,R61,S61,T61)</f>
        <v>0</v>
      </c>
    </row>
    <row r="62" spans="1:21">
      <c r="A62" t="b">
        <v>1</v>
      </c>
      <c r="B62" t="s">
        <v>26</v>
      </c>
      <c r="C62">
        <v>111</v>
      </c>
      <c r="E62" t="s">
        <v>38</v>
      </c>
      <c r="F62" t="s">
        <v>27</v>
      </c>
      <c r="G62" t="str">
        <f>INDEX('User Inputs'!$G$3:$G$14,MATCH(1,'User Inputs'!$J$3:$J$14,0))</f>
        <v>2026M05</v>
      </c>
      <c r="H62" t="s">
        <v>29</v>
      </c>
      <c r="I62">
        <v>611000</v>
      </c>
      <c r="J62" t="s">
        <v>41</v>
      </c>
      <c r="K62" t="s">
        <v>31</v>
      </c>
      <c r="L62" t="s">
        <v>32</v>
      </c>
      <c r="M62">
        <v>171</v>
      </c>
      <c r="N62" t="str">
        <f t="shared" si="0"/>
        <v>111_171</v>
      </c>
      <c r="O62" t="s">
        <v>31</v>
      </c>
      <c r="P62">
        <v>330160</v>
      </c>
      <c r="Q62" t="s">
        <v>31</v>
      </c>
      <c r="R62" t="s">
        <v>31</v>
      </c>
      <c r="S62" t="s">
        <v>31</v>
      </c>
      <c r="T62" t="s">
        <v>31</v>
      </c>
      <c r="U62">
        <f>_xll.OneStreamExcelAddIn.XFFunctions.XFGetCell(A62,B62,C62,D62,E62,F62,G62,H62,I62,J62,K62,L62,M62,N62,O62,P62,Q62,R62,S62,T62)</f>
        <v>0</v>
      </c>
    </row>
    <row r="63" spans="1:21">
      <c r="A63" t="b">
        <v>1</v>
      </c>
      <c r="B63" t="s">
        <v>26</v>
      </c>
      <c r="C63">
        <v>111</v>
      </c>
      <c r="E63" t="s">
        <v>38</v>
      </c>
      <c r="F63" t="s">
        <v>27</v>
      </c>
      <c r="G63" t="str">
        <f>INDEX('User Inputs'!$G$3:$G$14,MATCH(1,'User Inputs'!$J$3:$J$14,0))</f>
        <v>2026M05</v>
      </c>
      <c r="H63" t="s">
        <v>29</v>
      </c>
      <c r="I63">
        <v>611000</v>
      </c>
      <c r="J63" t="s">
        <v>41</v>
      </c>
      <c r="K63" t="s">
        <v>31</v>
      </c>
      <c r="L63" t="s">
        <v>32</v>
      </c>
      <c r="M63">
        <v>171</v>
      </c>
      <c r="N63" t="str">
        <f t="shared" si="0"/>
        <v>111_171</v>
      </c>
      <c r="O63" t="s">
        <v>31</v>
      </c>
      <c r="P63">
        <v>330170</v>
      </c>
      <c r="Q63" t="s">
        <v>31</v>
      </c>
      <c r="R63" t="s">
        <v>31</v>
      </c>
      <c r="S63" t="s">
        <v>31</v>
      </c>
      <c r="T63" t="s">
        <v>31</v>
      </c>
      <c r="U63">
        <f>_xll.OneStreamExcelAddIn.XFFunctions.XFGetCell(A63,B63,C63,D63,E63,F63,G63,H63,I63,J63,K63,L63,M63,N63,O63,P63,Q63,R63,S63,T63)</f>
        <v>0</v>
      </c>
    </row>
    <row r="64" spans="1:21">
      <c r="A64" t="b">
        <v>1</v>
      </c>
      <c r="B64" t="s">
        <v>26</v>
      </c>
      <c r="C64">
        <v>111</v>
      </c>
      <c r="E64" t="s">
        <v>38</v>
      </c>
      <c r="F64" t="s">
        <v>27</v>
      </c>
      <c r="G64" t="str">
        <f>INDEX('User Inputs'!$G$3:$G$14,MATCH(1,'User Inputs'!$J$3:$J$14,0))</f>
        <v>2026M05</v>
      </c>
      <c r="H64" t="s">
        <v>29</v>
      </c>
      <c r="I64">
        <v>611000</v>
      </c>
      <c r="J64" t="s">
        <v>41</v>
      </c>
      <c r="K64" t="s">
        <v>31</v>
      </c>
      <c r="L64" t="s">
        <v>32</v>
      </c>
      <c r="M64">
        <v>171</v>
      </c>
      <c r="N64" t="str">
        <f t="shared" si="0"/>
        <v>111_171</v>
      </c>
      <c r="O64" t="s">
        <v>31</v>
      </c>
      <c r="P64">
        <v>330120</v>
      </c>
      <c r="Q64" t="s">
        <v>31</v>
      </c>
      <c r="R64" t="s">
        <v>31</v>
      </c>
      <c r="S64" t="s">
        <v>31</v>
      </c>
      <c r="T64" t="s">
        <v>31</v>
      </c>
      <c r="U64">
        <f>_xll.OneStreamExcelAddIn.XFFunctions.XFGetCell(A64,B64,C64,D64,E64,F64,G64,H64,I64,J64,K64,L64,M64,N64,O64,P64,Q64,R64,S64,T64)</f>
        <v>0</v>
      </c>
    </row>
    <row r="65" spans="1:21">
      <c r="A65" t="b">
        <v>1</v>
      </c>
      <c r="B65" t="s">
        <v>26</v>
      </c>
      <c r="C65">
        <v>111</v>
      </c>
      <c r="E65" t="s">
        <v>38</v>
      </c>
      <c r="F65" t="s">
        <v>27</v>
      </c>
      <c r="G65" t="str">
        <f>INDEX('User Inputs'!$G$3:$G$14,MATCH(1,'User Inputs'!$J$3:$J$14,0))</f>
        <v>2026M05</v>
      </c>
      <c r="H65" t="s">
        <v>29</v>
      </c>
      <c r="I65">
        <v>611000</v>
      </c>
      <c r="J65" t="s">
        <v>41</v>
      </c>
      <c r="K65" t="s">
        <v>31</v>
      </c>
      <c r="L65" t="s">
        <v>32</v>
      </c>
      <c r="M65">
        <v>171</v>
      </c>
      <c r="N65" t="str">
        <f t="shared" si="0"/>
        <v>111_171</v>
      </c>
      <c r="O65" t="s">
        <v>31</v>
      </c>
      <c r="P65">
        <v>330100</v>
      </c>
      <c r="Q65" t="s">
        <v>31</v>
      </c>
      <c r="R65" t="s">
        <v>31</v>
      </c>
      <c r="S65" t="s">
        <v>31</v>
      </c>
      <c r="T65" t="s">
        <v>31</v>
      </c>
      <c r="U65">
        <f>_xll.OneStreamExcelAddIn.XFFunctions.XFGetCell(A65,B65,C65,D65,E65,F65,G65,H65,I65,J65,K65,L65,M65,N65,O65,P65,Q65,R65,S65,T65)</f>
        <v>0</v>
      </c>
    </row>
    <row r="66" spans="1:21">
      <c r="A66" t="b">
        <v>1</v>
      </c>
      <c r="B66" t="s">
        <v>26</v>
      </c>
      <c r="C66">
        <v>111</v>
      </c>
      <c r="E66" t="s">
        <v>38</v>
      </c>
      <c r="F66" t="s">
        <v>27</v>
      </c>
      <c r="G66" t="str">
        <f>INDEX('User Inputs'!$G$3:$G$14,MATCH(1,'User Inputs'!$J$3:$J$14,0))</f>
        <v>2026M05</v>
      </c>
      <c r="H66" t="s">
        <v>29</v>
      </c>
      <c r="I66">
        <v>611000</v>
      </c>
      <c r="J66" t="s">
        <v>41</v>
      </c>
      <c r="K66" t="s">
        <v>31</v>
      </c>
      <c r="L66" t="s">
        <v>32</v>
      </c>
      <c r="M66">
        <v>171</v>
      </c>
      <c r="N66" t="str">
        <f t="shared" si="0"/>
        <v>111_171</v>
      </c>
      <c r="O66" t="s">
        <v>31</v>
      </c>
      <c r="P66">
        <v>330150</v>
      </c>
      <c r="Q66" t="s">
        <v>31</v>
      </c>
      <c r="R66" t="s">
        <v>31</v>
      </c>
      <c r="S66" t="s">
        <v>31</v>
      </c>
      <c r="T66" t="s">
        <v>31</v>
      </c>
      <c r="U66">
        <f>_xll.OneStreamExcelAddIn.XFFunctions.XFGetCell(A66,B66,C66,D66,E66,F66,G66,H66,I66,J66,K66,L66,M66,N66,O66,P66,Q66,R66,S66,T66)</f>
        <v>0</v>
      </c>
    </row>
    <row r="67" spans="1:21">
      <c r="A67" t="b">
        <v>1</v>
      </c>
      <c r="B67" t="s">
        <v>26</v>
      </c>
      <c r="C67">
        <v>111</v>
      </c>
      <c r="E67" t="s">
        <v>38</v>
      </c>
      <c r="F67" t="s">
        <v>27</v>
      </c>
      <c r="G67" t="str">
        <f>INDEX('User Inputs'!$G$3:$G$14,MATCH(1,'User Inputs'!$J$3:$J$14,0))</f>
        <v>2026M05</v>
      </c>
      <c r="H67" t="s">
        <v>29</v>
      </c>
      <c r="I67">
        <v>611000</v>
      </c>
      <c r="J67" t="s">
        <v>41</v>
      </c>
      <c r="K67" t="s">
        <v>31</v>
      </c>
      <c r="L67" t="s">
        <v>32</v>
      </c>
      <c r="M67">
        <v>171</v>
      </c>
      <c r="N67" t="str">
        <f t="shared" ref="N67:N130" si="1">_xlfn.CONCAT(C67,"_",M67)</f>
        <v>111_171</v>
      </c>
      <c r="O67" t="s">
        <v>31</v>
      </c>
      <c r="P67">
        <v>330110</v>
      </c>
      <c r="Q67" t="s">
        <v>31</v>
      </c>
      <c r="R67" t="s">
        <v>31</v>
      </c>
      <c r="S67" t="s">
        <v>31</v>
      </c>
      <c r="T67" t="s">
        <v>31</v>
      </c>
      <c r="U67">
        <f>_xll.OneStreamExcelAddIn.XFFunctions.XFGetCell(A67,B67,C67,D67,E67,F67,G67,H67,I67,J67,K67,L67,M67,N67,O67,P67,Q67,R67,S67,T67)</f>
        <v>0</v>
      </c>
    </row>
    <row r="68" spans="1:21">
      <c r="A68" t="b">
        <v>1</v>
      </c>
      <c r="B68" t="s">
        <v>26</v>
      </c>
      <c r="C68">
        <v>111</v>
      </c>
      <c r="E68" t="s">
        <v>38</v>
      </c>
      <c r="F68" t="s">
        <v>27</v>
      </c>
      <c r="G68" t="str">
        <f>INDEX('User Inputs'!$G$3:$G$14,MATCH(1,'User Inputs'!$J$3:$J$14,0))</f>
        <v>2026M05</v>
      </c>
      <c r="H68" t="s">
        <v>29</v>
      </c>
      <c r="I68">
        <v>611000</v>
      </c>
      <c r="J68" t="s">
        <v>41</v>
      </c>
      <c r="K68" t="s">
        <v>31</v>
      </c>
      <c r="L68" t="s">
        <v>32</v>
      </c>
      <c r="M68">
        <v>171</v>
      </c>
      <c r="N68" t="str">
        <f t="shared" si="1"/>
        <v>111_171</v>
      </c>
      <c r="O68" t="s">
        <v>31</v>
      </c>
      <c r="P68">
        <v>330180</v>
      </c>
      <c r="Q68" t="s">
        <v>31</v>
      </c>
      <c r="R68" t="s">
        <v>31</v>
      </c>
      <c r="S68" t="s">
        <v>31</v>
      </c>
      <c r="T68" t="s">
        <v>31</v>
      </c>
      <c r="U68">
        <f>_xll.OneStreamExcelAddIn.XFFunctions.XFGetCell(A68,B68,C68,D68,E68,F68,G68,H68,I68,J68,K68,L68,M68,N68,O68,P68,Q68,R68,S68,T68)</f>
        <v>0</v>
      </c>
    </row>
    <row r="69" spans="1:21">
      <c r="A69" t="b">
        <v>1</v>
      </c>
      <c r="B69" t="s">
        <v>26</v>
      </c>
      <c r="C69">
        <v>111</v>
      </c>
      <c r="E69" t="s">
        <v>38</v>
      </c>
      <c r="F69" t="s">
        <v>27</v>
      </c>
      <c r="G69" t="str">
        <f>INDEX('User Inputs'!$G$3:$G$14,MATCH(1,'User Inputs'!$J$3:$J$14,0))</f>
        <v>2026M05</v>
      </c>
      <c r="H69" t="s">
        <v>29</v>
      </c>
      <c r="I69">
        <v>611000</v>
      </c>
      <c r="J69" t="s">
        <v>41</v>
      </c>
      <c r="K69" t="s">
        <v>31</v>
      </c>
      <c r="L69" t="s">
        <v>32</v>
      </c>
      <c r="M69">
        <v>171</v>
      </c>
      <c r="N69" t="str">
        <f t="shared" si="1"/>
        <v>111_171</v>
      </c>
      <c r="O69" t="s">
        <v>31</v>
      </c>
      <c r="P69">
        <v>331200</v>
      </c>
      <c r="Q69" t="s">
        <v>31</v>
      </c>
      <c r="R69" t="s">
        <v>31</v>
      </c>
      <c r="S69" t="s">
        <v>31</v>
      </c>
      <c r="T69" t="s">
        <v>31</v>
      </c>
      <c r="U69">
        <f>_xll.OneStreamExcelAddIn.XFFunctions.XFGetCell(A69,B69,C69,D69,E69,F69,G69,H69,I69,J69,K69,L69,M69,N69,O69,P69,Q69,R69,S69,T69)</f>
        <v>0</v>
      </c>
    </row>
    <row r="70" spans="1:21">
      <c r="A70" t="b">
        <v>1</v>
      </c>
      <c r="B70" t="s">
        <v>26</v>
      </c>
      <c r="C70">
        <v>111</v>
      </c>
      <c r="E70" t="s">
        <v>38</v>
      </c>
      <c r="F70" t="s">
        <v>27</v>
      </c>
      <c r="G70" t="str">
        <f>INDEX('User Inputs'!$G$3:$G$14,MATCH(1,'User Inputs'!$J$3:$J$14,0))</f>
        <v>2026M05</v>
      </c>
      <c r="H70" t="s">
        <v>29</v>
      </c>
      <c r="I70">
        <v>611010</v>
      </c>
      <c r="J70" t="s">
        <v>41</v>
      </c>
      <c r="K70" t="s">
        <v>31</v>
      </c>
      <c r="L70" t="s">
        <v>32</v>
      </c>
      <c r="M70">
        <v>171</v>
      </c>
      <c r="N70" t="str">
        <f t="shared" si="1"/>
        <v>111_171</v>
      </c>
      <c r="O70" t="s">
        <v>31</v>
      </c>
      <c r="P70">
        <v>330210</v>
      </c>
      <c r="Q70" t="s">
        <v>31</v>
      </c>
      <c r="R70" t="s">
        <v>31</v>
      </c>
      <c r="S70" t="s">
        <v>31</v>
      </c>
      <c r="T70" t="s">
        <v>31</v>
      </c>
      <c r="U70">
        <f>_xll.OneStreamExcelAddIn.XFFunctions.XFGetCell(A70,B70,C70,D70,E70,F70,G70,H70,I70,J70,K70,L70,M70,N70,O70,P70,Q70,R70,S70,T70)</f>
        <v>0</v>
      </c>
    </row>
    <row r="71" spans="1:21">
      <c r="A71" t="b">
        <v>1</v>
      </c>
      <c r="B71" t="s">
        <v>26</v>
      </c>
      <c r="C71">
        <v>111</v>
      </c>
      <c r="E71" t="s">
        <v>38</v>
      </c>
      <c r="F71" t="s">
        <v>27</v>
      </c>
      <c r="G71" t="str">
        <f>INDEX('User Inputs'!$G$3:$G$14,MATCH(1,'User Inputs'!$J$3:$J$14,0))</f>
        <v>2026M05</v>
      </c>
      <c r="H71" t="s">
        <v>29</v>
      </c>
      <c r="I71">
        <v>611010</v>
      </c>
      <c r="J71" t="s">
        <v>41</v>
      </c>
      <c r="K71" t="s">
        <v>31</v>
      </c>
      <c r="L71" t="s">
        <v>32</v>
      </c>
      <c r="M71">
        <v>171</v>
      </c>
      <c r="N71" t="str">
        <f t="shared" si="1"/>
        <v>111_171</v>
      </c>
      <c r="O71" t="s">
        <v>31</v>
      </c>
      <c r="P71">
        <v>330200</v>
      </c>
      <c r="Q71" t="s">
        <v>31</v>
      </c>
      <c r="R71" t="s">
        <v>31</v>
      </c>
      <c r="S71" t="s">
        <v>31</v>
      </c>
      <c r="T71" t="s">
        <v>31</v>
      </c>
      <c r="U71">
        <f>_xll.OneStreamExcelAddIn.XFFunctions.XFGetCell(A71,B71,C71,D71,E71,F71,G71,H71,I71,J71,K71,L71,M71,N71,O71,P71,Q71,R71,S71,T71)</f>
        <v>0</v>
      </c>
    </row>
    <row r="72" spans="1:21">
      <c r="A72" t="b">
        <v>1</v>
      </c>
      <c r="B72" t="s">
        <v>26</v>
      </c>
      <c r="C72">
        <v>111</v>
      </c>
      <c r="E72" t="s">
        <v>38</v>
      </c>
      <c r="F72" t="s">
        <v>27</v>
      </c>
      <c r="G72" t="str">
        <f>INDEX('User Inputs'!$G$3:$G$14,MATCH(1,'User Inputs'!$J$3:$J$14,0))</f>
        <v>2026M05</v>
      </c>
      <c r="H72" t="s">
        <v>29</v>
      </c>
      <c r="I72">
        <v>611010</v>
      </c>
      <c r="J72" t="s">
        <v>41</v>
      </c>
      <c r="K72" t="s">
        <v>31</v>
      </c>
      <c r="L72" t="s">
        <v>32</v>
      </c>
      <c r="M72">
        <v>171</v>
      </c>
      <c r="N72" t="str">
        <f t="shared" si="1"/>
        <v>111_171</v>
      </c>
      <c r="O72" t="s">
        <v>31</v>
      </c>
      <c r="P72">
        <v>330220</v>
      </c>
      <c r="Q72" t="s">
        <v>31</v>
      </c>
      <c r="R72" t="s">
        <v>31</v>
      </c>
      <c r="S72" t="s">
        <v>31</v>
      </c>
      <c r="T72" t="s">
        <v>31</v>
      </c>
      <c r="U72">
        <f>_xll.OneStreamExcelAddIn.XFFunctions.XFGetCell(A72,B72,C72,D72,E72,F72,G72,H72,I72,J72,K72,L72,M72,N72,O72,P72,Q72,R72,S72,T72)</f>
        <v>0</v>
      </c>
    </row>
    <row r="73" spans="1:21">
      <c r="A73" t="b">
        <v>1</v>
      </c>
      <c r="B73" t="s">
        <v>26</v>
      </c>
      <c r="C73">
        <v>111</v>
      </c>
      <c r="E73" t="s">
        <v>38</v>
      </c>
      <c r="F73" t="s">
        <v>27</v>
      </c>
      <c r="G73" t="str">
        <f>INDEX('User Inputs'!$G$3:$G$14,MATCH(1,'User Inputs'!$J$3:$J$14,0))</f>
        <v>2026M05</v>
      </c>
      <c r="H73" t="s">
        <v>29</v>
      </c>
      <c r="I73">
        <v>611010</v>
      </c>
      <c r="J73" t="s">
        <v>41</v>
      </c>
      <c r="K73" t="s">
        <v>31</v>
      </c>
      <c r="L73" t="s">
        <v>32</v>
      </c>
      <c r="M73">
        <v>171</v>
      </c>
      <c r="N73" t="str">
        <f t="shared" si="1"/>
        <v>111_171</v>
      </c>
      <c r="O73" t="s">
        <v>31</v>
      </c>
      <c r="P73">
        <v>330250</v>
      </c>
      <c r="Q73" t="s">
        <v>31</v>
      </c>
      <c r="R73" t="s">
        <v>31</v>
      </c>
      <c r="S73" t="s">
        <v>31</v>
      </c>
      <c r="T73" t="s">
        <v>31</v>
      </c>
      <c r="U73">
        <f>_xll.OneStreamExcelAddIn.XFFunctions.XFGetCell(A73,B73,C73,D73,E73,F73,G73,H73,I73,J73,K73,L73,M73,N73,O73,P73,Q73,R73,S73,T73)</f>
        <v>0</v>
      </c>
    </row>
    <row r="74" spans="1:21">
      <c r="A74" t="b">
        <v>1</v>
      </c>
      <c r="B74" t="s">
        <v>26</v>
      </c>
      <c r="C74">
        <v>111</v>
      </c>
      <c r="E74" t="s">
        <v>38</v>
      </c>
      <c r="F74" t="s">
        <v>27</v>
      </c>
      <c r="G74" t="str">
        <f>INDEX('User Inputs'!$G$3:$G$14,MATCH(1,'User Inputs'!$J$3:$J$14,0))</f>
        <v>2026M05</v>
      </c>
      <c r="H74" t="s">
        <v>29</v>
      </c>
      <c r="I74">
        <v>611010</v>
      </c>
      <c r="J74" t="s">
        <v>41</v>
      </c>
      <c r="K74" t="s">
        <v>31</v>
      </c>
      <c r="L74" t="s">
        <v>32</v>
      </c>
      <c r="M74">
        <v>171</v>
      </c>
      <c r="N74" t="str">
        <f t="shared" si="1"/>
        <v>111_171</v>
      </c>
      <c r="O74" t="s">
        <v>31</v>
      </c>
      <c r="P74">
        <v>330230</v>
      </c>
      <c r="Q74" t="s">
        <v>31</v>
      </c>
      <c r="R74" t="s">
        <v>31</v>
      </c>
      <c r="S74" t="s">
        <v>31</v>
      </c>
      <c r="T74" t="s">
        <v>31</v>
      </c>
      <c r="U74">
        <f>_xll.OneStreamExcelAddIn.XFFunctions.XFGetCell(A74,B74,C74,D74,E74,F74,G74,H74,I74,J74,K74,L74,M74,N74,O74,P74,Q74,R74,S74,T74)</f>
        <v>0</v>
      </c>
    </row>
    <row r="75" spans="1:21">
      <c r="A75" t="b">
        <v>1</v>
      </c>
      <c r="B75" t="s">
        <v>26</v>
      </c>
      <c r="C75">
        <v>111</v>
      </c>
      <c r="E75" t="s">
        <v>38</v>
      </c>
      <c r="F75" t="s">
        <v>27</v>
      </c>
      <c r="G75" t="str">
        <f>INDEX('User Inputs'!$G$3:$G$14,MATCH(1,'User Inputs'!$J$3:$J$14,0))</f>
        <v>2026M05</v>
      </c>
      <c r="H75" t="s">
        <v>29</v>
      </c>
      <c r="I75">
        <v>611010</v>
      </c>
      <c r="J75" t="s">
        <v>41</v>
      </c>
      <c r="K75" t="s">
        <v>31</v>
      </c>
      <c r="L75" t="s">
        <v>32</v>
      </c>
      <c r="M75">
        <v>171</v>
      </c>
      <c r="N75" t="str">
        <f t="shared" si="1"/>
        <v>111_171</v>
      </c>
      <c r="O75" t="s">
        <v>31</v>
      </c>
      <c r="P75">
        <v>330260</v>
      </c>
      <c r="Q75" t="s">
        <v>31</v>
      </c>
      <c r="R75" t="s">
        <v>31</v>
      </c>
      <c r="S75" t="s">
        <v>31</v>
      </c>
      <c r="T75" t="s">
        <v>31</v>
      </c>
      <c r="U75">
        <f>_xll.OneStreamExcelAddIn.XFFunctions.XFGetCell(A75,B75,C75,D75,E75,F75,G75,H75,I75,J75,K75,L75,M75,N75,O75,P75,Q75,R75,S75,T75)</f>
        <v>0</v>
      </c>
    </row>
    <row r="76" spans="1:21">
      <c r="A76" t="b">
        <v>1</v>
      </c>
      <c r="B76" t="s">
        <v>26</v>
      </c>
      <c r="C76">
        <v>111</v>
      </c>
      <c r="E76" t="s">
        <v>38</v>
      </c>
      <c r="F76" t="s">
        <v>27</v>
      </c>
      <c r="G76" t="str">
        <f>INDEX('User Inputs'!$G$3:$G$14,MATCH(1,'User Inputs'!$J$3:$J$14,0))</f>
        <v>2026M05</v>
      </c>
      <c r="H76" t="s">
        <v>29</v>
      </c>
      <c r="I76">
        <v>611010</v>
      </c>
      <c r="J76" t="s">
        <v>41</v>
      </c>
      <c r="K76" t="s">
        <v>31</v>
      </c>
      <c r="L76" t="s">
        <v>32</v>
      </c>
      <c r="M76">
        <v>171</v>
      </c>
      <c r="N76" t="str">
        <f t="shared" si="1"/>
        <v>111_171</v>
      </c>
      <c r="O76" t="s">
        <v>31</v>
      </c>
      <c r="P76">
        <v>330240</v>
      </c>
      <c r="Q76" t="s">
        <v>31</v>
      </c>
      <c r="R76" t="s">
        <v>31</v>
      </c>
      <c r="S76" t="s">
        <v>31</v>
      </c>
      <c r="T76" t="s">
        <v>31</v>
      </c>
      <c r="U76">
        <f>_xll.OneStreamExcelAddIn.XFFunctions.XFGetCell(A76,B76,C76,D76,E76,F76,G76,H76,I76,J76,K76,L76,M76,N76,O76,P76,Q76,R76,S76,T76)</f>
        <v>0</v>
      </c>
    </row>
    <row r="77" spans="1:21">
      <c r="A77" t="b">
        <v>1</v>
      </c>
      <c r="B77" t="s">
        <v>26</v>
      </c>
      <c r="C77">
        <v>111</v>
      </c>
      <c r="E77" t="s">
        <v>38</v>
      </c>
      <c r="F77" t="s">
        <v>27</v>
      </c>
      <c r="G77" t="str">
        <f>INDEX('User Inputs'!$G$3:$G$14,MATCH(1,'User Inputs'!$J$3:$J$14,0))</f>
        <v>2026M05</v>
      </c>
      <c r="H77" t="s">
        <v>29</v>
      </c>
      <c r="I77">
        <v>611020</v>
      </c>
      <c r="J77" t="s">
        <v>41</v>
      </c>
      <c r="K77" t="s">
        <v>31</v>
      </c>
      <c r="L77" t="s">
        <v>32</v>
      </c>
      <c r="M77">
        <v>171</v>
      </c>
      <c r="N77" t="str">
        <f t="shared" si="1"/>
        <v>111_171</v>
      </c>
      <c r="O77" t="s">
        <v>31</v>
      </c>
      <c r="P77">
        <v>330330</v>
      </c>
      <c r="Q77" t="s">
        <v>31</v>
      </c>
      <c r="R77" t="s">
        <v>31</v>
      </c>
      <c r="S77" t="s">
        <v>31</v>
      </c>
      <c r="T77" t="s">
        <v>31</v>
      </c>
      <c r="U77">
        <f>_xll.OneStreamExcelAddIn.XFFunctions.XFGetCell(A77,B77,C77,D77,E77,F77,G77,H77,I77,J77,K77,L77,M77,N77,O77,P77,Q77,R77,S77,T77)</f>
        <v>0</v>
      </c>
    </row>
    <row r="78" spans="1:21">
      <c r="A78" t="b">
        <v>1</v>
      </c>
      <c r="B78" t="s">
        <v>26</v>
      </c>
      <c r="C78">
        <v>111</v>
      </c>
      <c r="E78" t="s">
        <v>38</v>
      </c>
      <c r="F78" t="s">
        <v>27</v>
      </c>
      <c r="G78" t="str">
        <f>INDEX('User Inputs'!$G$3:$G$14,MATCH(1,'User Inputs'!$J$3:$J$14,0))</f>
        <v>2026M05</v>
      </c>
      <c r="H78" t="s">
        <v>29</v>
      </c>
      <c r="I78">
        <v>611020</v>
      </c>
      <c r="J78" t="s">
        <v>41</v>
      </c>
      <c r="K78" t="s">
        <v>31</v>
      </c>
      <c r="L78" t="s">
        <v>32</v>
      </c>
      <c r="M78">
        <v>171</v>
      </c>
      <c r="N78" t="str">
        <f t="shared" si="1"/>
        <v>111_171</v>
      </c>
      <c r="O78" t="s">
        <v>31</v>
      </c>
      <c r="P78">
        <v>330300</v>
      </c>
      <c r="Q78" t="s">
        <v>31</v>
      </c>
      <c r="R78" t="s">
        <v>31</v>
      </c>
      <c r="S78" t="s">
        <v>31</v>
      </c>
      <c r="T78" t="s">
        <v>31</v>
      </c>
      <c r="U78">
        <f>_xll.OneStreamExcelAddIn.XFFunctions.XFGetCell(A78,B78,C78,D78,E78,F78,G78,H78,I78,J78,K78,L78,M78,N78,O78,P78,Q78,R78,S78,T78)</f>
        <v>0</v>
      </c>
    </row>
    <row r="79" spans="1:21">
      <c r="A79" t="b">
        <v>1</v>
      </c>
      <c r="B79" t="s">
        <v>26</v>
      </c>
      <c r="C79">
        <v>111</v>
      </c>
      <c r="E79" t="s">
        <v>38</v>
      </c>
      <c r="F79" t="s">
        <v>27</v>
      </c>
      <c r="G79" t="str">
        <f>INDEX('User Inputs'!$G$3:$G$14,MATCH(1,'User Inputs'!$J$3:$J$14,0))</f>
        <v>2026M05</v>
      </c>
      <c r="H79" t="s">
        <v>29</v>
      </c>
      <c r="I79">
        <v>611020</v>
      </c>
      <c r="J79" t="s">
        <v>41</v>
      </c>
      <c r="K79" t="s">
        <v>31</v>
      </c>
      <c r="L79" t="s">
        <v>32</v>
      </c>
      <c r="M79">
        <v>171</v>
      </c>
      <c r="N79" t="str">
        <f t="shared" si="1"/>
        <v>111_171</v>
      </c>
      <c r="O79" t="s">
        <v>31</v>
      </c>
      <c r="P79">
        <v>330340</v>
      </c>
      <c r="Q79" t="s">
        <v>31</v>
      </c>
      <c r="R79" t="s">
        <v>31</v>
      </c>
      <c r="S79" t="s">
        <v>31</v>
      </c>
      <c r="T79" t="s">
        <v>31</v>
      </c>
      <c r="U79">
        <f>_xll.OneStreamExcelAddIn.XFFunctions.XFGetCell(A79,B79,C79,D79,E79,F79,G79,H79,I79,J79,K79,L79,M79,N79,O79,P79,Q79,R79,S79,T79)</f>
        <v>0</v>
      </c>
    </row>
    <row r="80" spans="1:21">
      <c r="A80" t="b">
        <v>1</v>
      </c>
      <c r="B80" t="s">
        <v>26</v>
      </c>
      <c r="C80">
        <v>111</v>
      </c>
      <c r="E80" t="s">
        <v>38</v>
      </c>
      <c r="F80" t="s">
        <v>27</v>
      </c>
      <c r="G80" t="str">
        <f>INDEX('User Inputs'!$G$3:$G$14,MATCH(1,'User Inputs'!$J$3:$J$14,0))</f>
        <v>2026M05</v>
      </c>
      <c r="H80" t="s">
        <v>29</v>
      </c>
      <c r="I80">
        <v>611020</v>
      </c>
      <c r="J80" t="s">
        <v>41</v>
      </c>
      <c r="K80" t="s">
        <v>31</v>
      </c>
      <c r="L80" t="s">
        <v>32</v>
      </c>
      <c r="M80">
        <v>171</v>
      </c>
      <c r="N80" t="str">
        <f t="shared" si="1"/>
        <v>111_171</v>
      </c>
      <c r="O80" t="s">
        <v>31</v>
      </c>
      <c r="P80">
        <v>330350</v>
      </c>
      <c r="Q80" t="s">
        <v>31</v>
      </c>
      <c r="R80" t="s">
        <v>31</v>
      </c>
      <c r="S80" t="s">
        <v>31</v>
      </c>
      <c r="T80" t="s">
        <v>31</v>
      </c>
      <c r="U80">
        <f>_xll.OneStreamExcelAddIn.XFFunctions.XFGetCell(A80,B80,C80,D80,E80,F80,G80,H80,I80,J80,K80,L80,M80,N80,O80,P80,Q80,R80,S80,T80)</f>
        <v>0</v>
      </c>
    </row>
    <row r="81" spans="1:21">
      <c r="A81" t="b">
        <v>1</v>
      </c>
      <c r="B81" t="s">
        <v>26</v>
      </c>
      <c r="C81">
        <v>111</v>
      </c>
      <c r="E81" t="s">
        <v>38</v>
      </c>
      <c r="F81" t="s">
        <v>27</v>
      </c>
      <c r="G81" t="str">
        <f>INDEX('User Inputs'!$G$3:$G$14,MATCH(1,'User Inputs'!$J$3:$J$14,0))</f>
        <v>2026M05</v>
      </c>
      <c r="H81" t="s">
        <v>29</v>
      </c>
      <c r="I81">
        <v>611020</v>
      </c>
      <c r="J81" t="s">
        <v>41</v>
      </c>
      <c r="K81" t="s">
        <v>31</v>
      </c>
      <c r="L81" t="s">
        <v>32</v>
      </c>
      <c r="M81">
        <v>171</v>
      </c>
      <c r="N81" t="str">
        <f t="shared" si="1"/>
        <v>111_171</v>
      </c>
      <c r="O81" t="s">
        <v>31</v>
      </c>
      <c r="P81">
        <v>330320</v>
      </c>
      <c r="Q81" t="s">
        <v>31</v>
      </c>
      <c r="R81" t="s">
        <v>31</v>
      </c>
      <c r="S81" t="s">
        <v>31</v>
      </c>
      <c r="T81" t="s">
        <v>31</v>
      </c>
      <c r="U81">
        <f>_xll.OneStreamExcelAddIn.XFFunctions.XFGetCell(A81,B81,C81,D81,E81,F81,G81,H81,I81,J81,K81,L81,M81,N81,O81,P81,Q81,R81,S81,T81)</f>
        <v>0</v>
      </c>
    </row>
    <row r="82" spans="1:21">
      <c r="A82" t="b">
        <v>1</v>
      </c>
      <c r="B82" t="s">
        <v>26</v>
      </c>
      <c r="C82">
        <v>111</v>
      </c>
      <c r="E82" t="s">
        <v>38</v>
      </c>
      <c r="F82" t="s">
        <v>27</v>
      </c>
      <c r="G82" t="str">
        <f>INDEX('User Inputs'!$G$3:$G$14,MATCH(1,'User Inputs'!$J$3:$J$14,0))</f>
        <v>2026M05</v>
      </c>
      <c r="H82" t="s">
        <v>29</v>
      </c>
      <c r="I82">
        <v>611020</v>
      </c>
      <c r="J82" t="s">
        <v>41</v>
      </c>
      <c r="K82" t="s">
        <v>31</v>
      </c>
      <c r="L82" t="s">
        <v>32</v>
      </c>
      <c r="M82">
        <v>171</v>
      </c>
      <c r="N82" t="str">
        <f t="shared" si="1"/>
        <v>111_171</v>
      </c>
      <c r="O82" t="s">
        <v>31</v>
      </c>
      <c r="P82">
        <v>330360</v>
      </c>
      <c r="Q82" t="s">
        <v>31</v>
      </c>
      <c r="R82" t="s">
        <v>31</v>
      </c>
      <c r="S82" t="s">
        <v>31</v>
      </c>
      <c r="T82" t="s">
        <v>31</v>
      </c>
      <c r="U82">
        <f>_xll.OneStreamExcelAddIn.XFFunctions.XFGetCell(A82,B82,C82,D82,E82,F82,G82,H82,I82,J82,K82,L82,M82,N82,O82,P82,Q82,R82,S82,T82)</f>
        <v>0</v>
      </c>
    </row>
    <row r="83" spans="1:21">
      <c r="A83" t="b">
        <v>1</v>
      </c>
      <c r="B83" t="s">
        <v>26</v>
      </c>
      <c r="C83">
        <v>111</v>
      </c>
      <c r="E83" t="s">
        <v>38</v>
      </c>
      <c r="F83" t="s">
        <v>27</v>
      </c>
      <c r="G83" t="str">
        <f>INDEX('User Inputs'!$G$3:$G$14,MATCH(1,'User Inputs'!$J$3:$J$14,0))</f>
        <v>2026M05</v>
      </c>
      <c r="H83" t="s">
        <v>29</v>
      </c>
      <c r="I83">
        <v>611020</v>
      </c>
      <c r="J83" t="s">
        <v>41</v>
      </c>
      <c r="K83" t="s">
        <v>31</v>
      </c>
      <c r="L83" t="s">
        <v>32</v>
      </c>
      <c r="M83">
        <v>171</v>
      </c>
      <c r="N83" t="str">
        <f t="shared" si="1"/>
        <v>111_171</v>
      </c>
      <c r="O83" t="s">
        <v>31</v>
      </c>
      <c r="P83">
        <v>330370</v>
      </c>
      <c r="Q83" t="s">
        <v>31</v>
      </c>
      <c r="R83" t="s">
        <v>31</v>
      </c>
      <c r="S83" t="s">
        <v>31</v>
      </c>
      <c r="T83" t="s">
        <v>31</v>
      </c>
      <c r="U83">
        <f>_xll.OneStreamExcelAddIn.XFFunctions.XFGetCell(A83,B83,C83,D83,E83,F83,G83,H83,I83,J83,K83,L83,M83,N83,O83,P83,Q83,R83,S83,T83)</f>
        <v>0</v>
      </c>
    </row>
    <row r="84" spans="1:21">
      <c r="A84" t="b">
        <v>1</v>
      </c>
      <c r="B84" t="s">
        <v>26</v>
      </c>
      <c r="C84">
        <v>111</v>
      </c>
      <c r="E84" t="s">
        <v>38</v>
      </c>
      <c r="F84" t="s">
        <v>27</v>
      </c>
      <c r="G84" t="str">
        <f>INDEX('User Inputs'!$G$3:$G$14,MATCH(1,'User Inputs'!$J$3:$J$14,0))</f>
        <v>2026M05</v>
      </c>
      <c r="H84" t="s">
        <v>29</v>
      </c>
      <c r="I84">
        <v>611020</v>
      </c>
      <c r="J84" t="s">
        <v>41</v>
      </c>
      <c r="K84" t="s">
        <v>31</v>
      </c>
      <c r="L84" t="s">
        <v>32</v>
      </c>
      <c r="M84">
        <v>171</v>
      </c>
      <c r="N84" t="str">
        <f t="shared" si="1"/>
        <v>111_171</v>
      </c>
      <c r="O84" t="s">
        <v>31</v>
      </c>
      <c r="P84">
        <v>330310</v>
      </c>
      <c r="Q84" t="s">
        <v>31</v>
      </c>
      <c r="R84" t="s">
        <v>31</v>
      </c>
      <c r="S84" t="s">
        <v>31</v>
      </c>
      <c r="T84" t="s">
        <v>31</v>
      </c>
      <c r="U84">
        <f>_xll.OneStreamExcelAddIn.XFFunctions.XFGetCell(A84,B84,C84,D84,E84,F84,G84,H84,I84,J84,K84,L84,M84,N84,O84,P84,Q84,R84,S84,T84)</f>
        <v>0</v>
      </c>
    </row>
    <row r="85" spans="1:21">
      <c r="A85" t="b">
        <v>1</v>
      </c>
      <c r="B85" t="s">
        <v>26</v>
      </c>
      <c r="C85">
        <v>111</v>
      </c>
      <c r="E85" t="s">
        <v>38</v>
      </c>
      <c r="F85" t="s">
        <v>27</v>
      </c>
      <c r="G85" t="str">
        <f>INDEX('User Inputs'!$G$3:$G$14,MATCH(1,'User Inputs'!$J$3:$J$14,0))</f>
        <v>2026M05</v>
      </c>
      <c r="H85" t="s">
        <v>29</v>
      </c>
      <c r="I85">
        <v>611020</v>
      </c>
      <c r="J85" t="s">
        <v>41</v>
      </c>
      <c r="K85" t="s">
        <v>31</v>
      </c>
      <c r="L85" t="s">
        <v>32</v>
      </c>
      <c r="M85">
        <v>171</v>
      </c>
      <c r="N85" t="str">
        <f t="shared" si="1"/>
        <v>111_171</v>
      </c>
      <c r="O85" t="s">
        <v>31</v>
      </c>
      <c r="P85">
        <v>330380</v>
      </c>
      <c r="Q85" t="s">
        <v>31</v>
      </c>
      <c r="R85" t="s">
        <v>31</v>
      </c>
      <c r="S85" t="s">
        <v>31</v>
      </c>
      <c r="T85" t="s">
        <v>31</v>
      </c>
      <c r="U85">
        <f>_xll.OneStreamExcelAddIn.XFFunctions.XFGetCell(A85,B85,C85,D85,E85,F85,G85,H85,I85,J85,K85,L85,M85,N85,O85,P85,Q85,R85,S85,T85)</f>
        <v>0</v>
      </c>
    </row>
    <row r="86" spans="1:21">
      <c r="A86" t="b">
        <v>1</v>
      </c>
      <c r="B86" t="s">
        <v>26</v>
      </c>
      <c r="C86">
        <v>111</v>
      </c>
      <c r="E86" t="s">
        <v>38</v>
      </c>
      <c r="F86" t="s">
        <v>27</v>
      </c>
      <c r="G86" t="str">
        <f>INDEX('User Inputs'!$G$3:$G$14,MATCH(1,'User Inputs'!$J$3:$J$14,0))</f>
        <v>2026M05</v>
      </c>
      <c r="H86" t="s">
        <v>29</v>
      </c>
      <c r="I86">
        <v>611030</v>
      </c>
      <c r="J86" t="s">
        <v>41</v>
      </c>
      <c r="K86" t="s">
        <v>31</v>
      </c>
      <c r="L86" t="s">
        <v>32</v>
      </c>
      <c r="M86">
        <v>171</v>
      </c>
      <c r="N86" t="str">
        <f t="shared" si="1"/>
        <v>111_171</v>
      </c>
      <c r="O86" t="s">
        <v>31</v>
      </c>
      <c r="P86">
        <v>330420</v>
      </c>
      <c r="Q86" t="s">
        <v>31</v>
      </c>
      <c r="R86" t="s">
        <v>31</v>
      </c>
      <c r="S86" t="s">
        <v>31</v>
      </c>
      <c r="T86" t="s">
        <v>31</v>
      </c>
      <c r="U86">
        <f>_xll.OneStreamExcelAddIn.XFFunctions.XFGetCell(A86,B86,C86,D86,E86,F86,G86,H86,I86,J86,K86,L86,M86,N86,O86,P86,Q86,R86,S86,T86)</f>
        <v>0</v>
      </c>
    </row>
    <row r="87" spans="1:21">
      <c r="A87" t="b">
        <v>1</v>
      </c>
      <c r="B87" t="s">
        <v>26</v>
      </c>
      <c r="C87">
        <v>111</v>
      </c>
      <c r="E87" t="s">
        <v>38</v>
      </c>
      <c r="F87" t="s">
        <v>27</v>
      </c>
      <c r="G87" t="str">
        <f>INDEX('User Inputs'!$G$3:$G$14,MATCH(1,'User Inputs'!$J$3:$J$14,0))</f>
        <v>2026M05</v>
      </c>
      <c r="H87" t="s">
        <v>29</v>
      </c>
      <c r="I87">
        <v>611030</v>
      </c>
      <c r="J87" t="s">
        <v>41</v>
      </c>
      <c r="K87" t="s">
        <v>31</v>
      </c>
      <c r="L87" t="s">
        <v>32</v>
      </c>
      <c r="M87">
        <v>171</v>
      </c>
      <c r="N87" t="str">
        <f t="shared" si="1"/>
        <v>111_171</v>
      </c>
      <c r="O87" t="s">
        <v>31</v>
      </c>
      <c r="P87">
        <v>330430</v>
      </c>
      <c r="Q87" t="s">
        <v>31</v>
      </c>
      <c r="R87" t="s">
        <v>31</v>
      </c>
      <c r="S87" t="s">
        <v>31</v>
      </c>
      <c r="T87" t="s">
        <v>31</v>
      </c>
      <c r="U87">
        <f>_xll.OneStreamExcelAddIn.XFFunctions.XFGetCell(A87,B87,C87,D87,E87,F87,G87,H87,I87,J87,K87,L87,M87,N87,O87,P87,Q87,R87,S87,T87)</f>
        <v>198.19</v>
      </c>
    </row>
    <row r="88" spans="1:21">
      <c r="A88" t="b">
        <v>1</v>
      </c>
      <c r="B88" t="s">
        <v>26</v>
      </c>
      <c r="C88">
        <v>111</v>
      </c>
      <c r="E88" t="s">
        <v>38</v>
      </c>
      <c r="F88" t="s">
        <v>27</v>
      </c>
      <c r="G88" t="str">
        <f>INDEX('User Inputs'!$G$3:$G$14,MATCH(1,'User Inputs'!$J$3:$J$14,0))</f>
        <v>2026M05</v>
      </c>
      <c r="H88" t="s">
        <v>29</v>
      </c>
      <c r="I88">
        <v>611030</v>
      </c>
      <c r="J88" t="s">
        <v>41</v>
      </c>
      <c r="K88" t="s">
        <v>31</v>
      </c>
      <c r="L88" t="s">
        <v>32</v>
      </c>
      <c r="M88">
        <v>171</v>
      </c>
      <c r="N88" t="str">
        <f t="shared" si="1"/>
        <v>111_171</v>
      </c>
      <c r="O88" t="s">
        <v>31</v>
      </c>
      <c r="P88">
        <v>330435</v>
      </c>
      <c r="Q88" t="s">
        <v>31</v>
      </c>
      <c r="R88" t="s">
        <v>31</v>
      </c>
      <c r="S88" t="s">
        <v>31</v>
      </c>
      <c r="T88" t="s">
        <v>31</v>
      </c>
      <c r="U88">
        <f>_xll.OneStreamExcelAddIn.XFFunctions.XFGetCell(A88,B88,C88,D88,E88,F88,G88,H88,I88,J88,K88,L88,M88,N88,O88,P88,Q88,R88,S88,T88)</f>
        <v>0</v>
      </c>
    </row>
    <row r="89" spans="1:21">
      <c r="A89" t="b">
        <v>1</v>
      </c>
      <c r="B89" t="s">
        <v>26</v>
      </c>
      <c r="C89">
        <v>111</v>
      </c>
      <c r="E89" t="s">
        <v>38</v>
      </c>
      <c r="F89" t="s">
        <v>27</v>
      </c>
      <c r="G89" t="str">
        <f>INDEX('User Inputs'!$G$3:$G$14,MATCH(1,'User Inputs'!$J$3:$J$14,0))</f>
        <v>2026M05</v>
      </c>
      <c r="H89" t="s">
        <v>29</v>
      </c>
      <c r="I89">
        <v>611030</v>
      </c>
      <c r="J89" t="s">
        <v>41</v>
      </c>
      <c r="K89" t="s">
        <v>31</v>
      </c>
      <c r="L89" t="s">
        <v>32</v>
      </c>
      <c r="M89">
        <v>171</v>
      </c>
      <c r="N89" t="str">
        <f t="shared" si="1"/>
        <v>111_171</v>
      </c>
      <c r="O89" t="s">
        <v>31</v>
      </c>
      <c r="P89">
        <v>330440</v>
      </c>
      <c r="Q89" t="s">
        <v>31</v>
      </c>
      <c r="R89" t="s">
        <v>31</v>
      </c>
      <c r="S89" t="s">
        <v>31</v>
      </c>
      <c r="T89" t="s">
        <v>31</v>
      </c>
      <c r="U89">
        <f>_xll.OneStreamExcelAddIn.XFFunctions.XFGetCell(A89,B89,C89,D89,E89,F89,G89,H89,I89,J89,K89,L89,M89,N89,O89,P89,Q89,R89,S89,T89)</f>
        <v>4860</v>
      </c>
    </row>
    <row r="90" spans="1:21">
      <c r="A90" t="b">
        <v>1</v>
      </c>
      <c r="B90" t="s">
        <v>26</v>
      </c>
      <c r="C90">
        <v>111</v>
      </c>
      <c r="E90" t="s">
        <v>38</v>
      </c>
      <c r="F90" t="s">
        <v>27</v>
      </c>
      <c r="G90" t="str">
        <f>INDEX('User Inputs'!$G$3:$G$14,MATCH(1,'User Inputs'!$J$3:$J$14,0))</f>
        <v>2026M05</v>
      </c>
      <c r="H90" t="s">
        <v>29</v>
      </c>
      <c r="I90">
        <v>611030</v>
      </c>
      <c r="J90" t="s">
        <v>41</v>
      </c>
      <c r="K90" t="s">
        <v>31</v>
      </c>
      <c r="L90" t="s">
        <v>32</v>
      </c>
      <c r="M90">
        <v>171</v>
      </c>
      <c r="N90" t="str">
        <f t="shared" si="1"/>
        <v>111_171</v>
      </c>
      <c r="O90" t="s">
        <v>31</v>
      </c>
      <c r="P90">
        <v>330445</v>
      </c>
      <c r="Q90" t="s">
        <v>31</v>
      </c>
      <c r="R90" t="s">
        <v>31</v>
      </c>
      <c r="S90" t="s">
        <v>31</v>
      </c>
      <c r="T90" t="s">
        <v>31</v>
      </c>
      <c r="U90">
        <f>_xll.OneStreamExcelAddIn.XFFunctions.XFGetCell(A90,B90,C90,D90,E90,F90,G90,H90,I90,J90,K90,L90,M90,N90,O90,P90,Q90,R90,S90,T90)</f>
        <v>0</v>
      </c>
    </row>
    <row r="91" spans="1:21">
      <c r="A91" t="b">
        <v>1</v>
      </c>
      <c r="B91" t="s">
        <v>26</v>
      </c>
      <c r="C91">
        <v>111</v>
      </c>
      <c r="E91" t="s">
        <v>38</v>
      </c>
      <c r="F91" t="s">
        <v>27</v>
      </c>
      <c r="G91" t="str">
        <f>INDEX('User Inputs'!$G$3:$G$14,MATCH(1,'User Inputs'!$J$3:$J$14,0))</f>
        <v>2026M05</v>
      </c>
      <c r="H91" t="s">
        <v>29</v>
      </c>
      <c r="I91">
        <v>611030</v>
      </c>
      <c r="J91" t="s">
        <v>41</v>
      </c>
      <c r="K91" t="s">
        <v>31</v>
      </c>
      <c r="L91" t="s">
        <v>32</v>
      </c>
      <c r="M91">
        <v>171</v>
      </c>
      <c r="N91" t="str">
        <f t="shared" si="1"/>
        <v>111_171</v>
      </c>
      <c r="O91" t="s">
        <v>31</v>
      </c>
      <c r="P91">
        <v>330410</v>
      </c>
      <c r="Q91" t="s">
        <v>31</v>
      </c>
      <c r="R91" t="s">
        <v>31</v>
      </c>
      <c r="S91" t="s">
        <v>31</v>
      </c>
      <c r="T91" t="s">
        <v>31</v>
      </c>
      <c r="U91">
        <f>_xll.OneStreamExcelAddIn.XFFunctions.XFGetCell(A91,B91,C91,D91,E91,F91,G91,H91,I91,J91,K91,L91,M91,N91,O91,P91,Q91,R91,S91,T91)</f>
        <v>0</v>
      </c>
    </row>
    <row r="92" spans="1:21">
      <c r="A92" t="b">
        <v>1</v>
      </c>
      <c r="B92" t="s">
        <v>26</v>
      </c>
      <c r="C92">
        <v>111</v>
      </c>
      <c r="E92" t="s">
        <v>38</v>
      </c>
      <c r="F92" t="s">
        <v>27</v>
      </c>
      <c r="G92" t="str">
        <f>INDEX('User Inputs'!$G$3:$G$14,MATCH(1,'User Inputs'!$J$3:$J$14,0))</f>
        <v>2026M05</v>
      </c>
      <c r="H92" t="s">
        <v>29</v>
      </c>
      <c r="I92">
        <v>611040</v>
      </c>
      <c r="J92" t="s">
        <v>41</v>
      </c>
      <c r="K92" t="s">
        <v>31</v>
      </c>
      <c r="L92" t="s">
        <v>32</v>
      </c>
      <c r="M92">
        <v>171</v>
      </c>
      <c r="N92" t="str">
        <f t="shared" si="1"/>
        <v>111_171</v>
      </c>
      <c r="O92" t="s">
        <v>31</v>
      </c>
      <c r="P92">
        <v>330450</v>
      </c>
      <c r="Q92" t="s">
        <v>31</v>
      </c>
      <c r="R92" t="s">
        <v>31</v>
      </c>
      <c r="S92" t="s">
        <v>31</v>
      </c>
      <c r="T92" t="s">
        <v>31</v>
      </c>
      <c r="U92">
        <f>_xll.OneStreamExcelAddIn.XFFunctions.XFGetCell(A92,B92,C92,D92,E92,F92,G92,H92,I92,J92,K92,L92,M92,N92,O92,P92,Q92,R92,S92,T92)</f>
        <v>0</v>
      </c>
    </row>
    <row r="93" spans="1:21">
      <c r="A93" t="b">
        <v>1</v>
      </c>
      <c r="B93" t="s">
        <v>26</v>
      </c>
      <c r="C93">
        <v>111</v>
      </c>
      <c r="E93" t="s">
        <v>38</v>
      </c>
      <c r="F93" t="s">
        <v>27</v>
      </c>
      <c r="G93" t="str">
        <f>INDEX('User Inputs'!$G$3:$G$14,MATCH(1,'User Inputs'!$J$3:$J$14,0))</f>
        <v>2026M05</v>
      </c>
      <c r="H93" t="s">
        <v>29</v>
      </c>
      <c r="I93">
        <v>611588</v>
      </c>
      <c r="J93" t="s">
        <v>41</v>
      </c>
      <c r="K93" t="s">
        <v>31</v>
      </c>
      <c r="L93" t="s">
        <v>32</v>
      </c>
      <c r="M93">
        <v>171</v>
      </c>
      <c r="N93" t="str">
        <f t="shared" si="1"/>
        <v>111_171</v>
      </c>
      <c r="O93" t="s">
        <v>31</v>
      </c>
      <c r="P93">
        <v>330915</v>
      </c>
      <c r="Q93" t="s">
        <v>31</v>
      </c>
      <c r="R93" t="s">
        <v>31</v>
      </c>
      <c r="S93" t="s">
        <v>31</v>
      </c>
      <c r="T93" t="s">
        <v>31</v>
      </c>
      <c r="U93">
        <f>_xll.OneStreamExcelAddIn.XFFunctions.XFGetCell(A93,B93,C93,D93,E93,F93,G93,H93,I93,J93,K93,L93,M93,N93,O93,P93,Q93,R93,S93,T93)</f>
        <v>0</v>
      </c>
    </row>
    <row r="94" spans="1:21">
      <c r="A94" t="b">
        <v>1</v>
      </c>
      <c r="B94" t="s">
        <v>26</v>
      </c>
      <c r="C94">
        <v>111</v>
      </c>
      <c r="E94" t="s">
        <v>38</v>
      </c>
      <c r="F94" t="s">
        <v>27</v>
      </c>
      <c r="G94" t="str">
        <f>INDEX('User Inputs'!$G$3:$G$14,MATCH(1,'User Inputs'!$J$3:$J$14,0))</f>
        <v>2026M05</v>
      </c>
      <c r="H94" t="s">
        <v>29</v>
      </c>
      <c r="I94">
        <v>614100</v>
      </c>
      <c r="J94" t="s">
        <v>41</v>
      </c>
      <c r="K94" t="s">
        <v>31</v>
      </c>
      <c r="L94" t="s">
        <v>32</v>
      </c>
      <c r="M94">
        <v>171</v>
      </c>
      <c r="N94" t="str">
        <f t="shared" si="1"/>
        <v>111_171</v>
      </c>
      <c r="O94" t="s">
        <v>31</v>
      </c>
      <c r="P94">
        <v>330500</v>
      </c>
      <c r="Q94" t="s">
        <v>31</v>
      </c>
      <c r="R94" t="s">
        <v>31</v>
      </c>
      <c r="S94" t="s">
        <v>31</v>
      </c>
      <c r="T94" t="s">
        <v>31</v>
      </c>
      <c r="U94">
        <f>_xll.OneStreamExcelAddIn.XFFunctions.XFGetCell(A94,B94,C94,D94,E94,F94,G94,H94,I94,J94,K94,L94,M94,N94,O94,P94,Q94,R94,S94,T94)</f>
        <v>0</v>
      </c>
    </row>
    <row r="95" spans="1:21">
      <c r="A95" t="b">
        <v>1</v>
      </c>
      <c r="B95" t="s">
        <v>26</v>
      </c>
      <c r="C95">
        <v>111</v>
      </c>
      <c r="E95" t="s">
        <v>38</v>
      </c>
      <c r="F95" t="s">
        <v>27</v>
      </c>
      <c r="G95" t="str">
        <f>INDEX('User Inputs'!$G$3:$G$14,MATCH(1,'User Inputs'!$J$3:$J$14,0))</f>
        <v>2026M05</v>
      </c>
      <c r="H95" t="s">
        <v>29</v>
      </c>
      <c r="I95">
        <v>614200</v>
      </c>
      <c r="J95" t="s">
        <v>41</v>
      </c>
      <c r="K95" t="s">
        <v>31</v>
      </c>
      <c r="L95" t="s">
        <v>32</v>
      </c>
      <c r="M95">
        <v>171</v>
      </c>
      <c r="N95" t="str">
        <f t="shared" si="1"/>
        <v>111_171</v>
      </c>
      <c r="O95" t="s">
        <v>31</v>
      </c>
      <c r="P95">
        <v>330610</v>
      </c>
      <c r="Q95" t="s">
        <v>31</v>
      </c>
      <c r="R95" t="s">
        <v>31</v>
      </c>
      <c r="S95" t="s">
        <v>31</v>
      </c>
      <c r="T95" t="s">
        <v>31</v>
      </c>
      <c r="U95">
        <f>_xll.OneStreamExcelAddIn.XFFunctions.XFGetCell(A95,B95,C95,D95,E95,F95,G95,H95,I95,J95,K95,L95,M95,N95,O95,P95,Q95,R95,S95,T95)</f>
        <v>0</v>
      </c>
    </row>
    <row r="96" spans="1:21">
      <c r="A96" t="b">
        <v>1</v>
      </c>
      <c r="B96" t="s">
        <v>26</v>
      </c>
      <c r="C96">
        <v>111</v>
      </c>
      <c r="E96" t="s">
        <v>38</v>
      </c>
      <c r="F96" t="s">
        <v>27</v>
      </c>
      <c r="G96" t="str">
        <f>INDEX('User Inputs'!$G$3:$G$14,MATCH(1,'User Inputs'!$J$3:$J$14,0))</f>
        <v>2026M05</v>
      </c>
      <c r="H96" t="s">
        <v>29</v>
      </c>
      <c r="I96">
        <v>614200</v>
      </c>
      <c r="J96" t="s">
        <v>41</v>
      </c>
      <c r="K96" t="s">
        <v>31</v>
      </c>
      <c r="L96" t="s">
        <v>32</v>
      </c>
      <c r="M96">
        <v>171</v>
      </c>
      <c r="N96" t="str">
        <f t="shared" si="1"/>
        <v>111_171</v>
      </c>
      <c r="O96" t="s">
        <v>31</v>
      </c>
      <c r="P96">
        <v>330600</v>
      </c>
      <c r="Q96" t="s">
        <v>31</v>
      </c>
      <c r="R96" t="s">
        <v>31</v>
      </c>
      <c r="S96" t="s">
        <v>31</v>
      </c>
      <c r="T96" t="s">
        <v>31</v>
      </c>
      <c r="U96">
        <f>_xll.OneStreamExcelAddIn.XFFunctions.XFGetCell(A96,B96,C96,D96,E96,F96,G96,H96,I96,J96,K96,L96,M96,N96,O96,P96,Q96,R96,S96,T96)</f>
        <v>0</v>
      </c>
    </row>
    <row r="97" spans="1:21">
      <c r="A97" t="b">
        <v>1</v>
      </c>
      <c r="B97" t="s">
        <v>26</v>
      </c>
      <c r="C97">
        <v>111</v>
      </c>
      <c r="E97" t="s">
        <v>38</v>
      </c>
      <c r="F97" t="s">
        <v>27</v>
      </c>
      <c r="G97" t="str">
        <f>INDEX('User Inputs'!$G$3:$G$14,MATCH(1,'User Inputs'!$J$3:$J$14,0))</f>
        <v>2026M05</v>
      </c>
      <c r="H97" t="s">
        <v>29</v>
      </c>
      <c r="I97">
        <v>614200</v>
      </c>
      <c r="J97" t="s">
        <v>41</v>
      </c>
      <c r="K97" t="s">
        <v>31</v>
      </c>
      <c r="L97" t="s">
        <v>32</v>
      </c>
      <c r="M97">
        <v>171</v>
      </c>
      <c r="N97" t="str">
        <f t="shared" si="1"/>
        <v>111_171</v>
      </c>
      <c r="O97" t="s">
        <v>31</v>
      </c>
      <c r="P97">
        <v>330620</v>
      </c>
      <c r="Q97" t="s">
        <v>31</v>
      </c>
      <c r="R97" t="s">
        <v>31</v>
      </c>
      <c r="S97" t="s">
        <v>31</v>
      </c>
      <c r="T97" t="s">
        <v>31</v>
      </c>
      <c r="U97">
        <f>_xll.OneStreamExcelAddIn.XFFunctions.XFGetCell(A97,B97,C97,D97,E97,F97,G97,H97,I97,J97,K97,L97,M97,N97,O97,P97,Q97,R97,S97,T97)</f>
        <v>0</v>
      </c>
    </row>
    <row r="98" spans="1:21">
      <c r="A98" t="b">
        <v>1</v>
      </c>
      <c r="B98" t="s">
        <v>26</v>
      </c>
      <c r="C98">
        <v>111</v>
      </c>
      <c r="E98" t="s">
        <v>38</v>
      </c>
      <c r="F98" t="s">
        <v>27</v>
      </c>
      <c r="G98" t="str">
        <f>INDEX('User Inputs'!$G$3:$G$14,MATCH(1,'User Inputs'!$J$3:$J$14,0))</f>
        <v>2026M05</v>
      </c>
      <c r="H98" t="s">
        <v>29</v>
      </c>
      <c r="I98">
        <v>614200</v>
      </c>
      <c r="J98" t="s">
        <v>41</v>
      </c>
      <c r="K98" t="s">
        <v>31</v>
      </c>
      <c r="L98" t="s">
        <v>32</v>
      </c>
      <c r="M98">
        <v>171</v>
      </c>
      <c r="N98" t="str">
        <f t="shared" si="1"/>
        <v>111_171</v>
      </c>
      <c r="O98" t="s">
        <v>31</v>
      </c>
      <c r="P98">
        <v>330630</v>
      </c>
      <c r="Q98" t="s">
        <v>31</v>
      </c>
      <c r="R98" t="s">
        <v>31</v>
      </c>
      <c r="S98" t="s">
        <v>31</v>
      </c>
      <c r="T98" t="s">
        <v>31</v>
      </c>
      <c r="U98">
        <f>_xll.OneStreamExcelAddIn.XFFunctions.XFGetCell(A98,B98,C98,D98,E98,F98,G98,H98,I98,J98,K98,L98,M98,N98,O98,P98,Q98,R98,S98,T98)</f>
        <v>0</v>
      </c>
    </row>
    <row r="99" spans="1:21">
      <c r="A99" t="b">
        <v>1</v>
      </c>
      <c r="B99" t="s">
        <v>26</v>
      </c>
      <c r="C99">
        <v>111</v>
      </c>
      <c r="E99" t="s">
        <v>38</v>
      </c>
      <c r="F99" t="s">
        <v>27</v>
      </c>
      <c r="G99" t="str">
        <f>INDEX('User Inputs'!$G$3:$G$14,MATCH(1,'User Inputs'!$J$3:$J$14,0))</f>
        <v>2026M05</v>
      </c>
      <c r="H99" t="s">
        <v>29</v>
      </c>
      <c r="I99">
        <v>616000</v>
      </c>
      <c r="J99" t="s">
        <v>41</v>
      </c>
      <c r="K99" t="s">
        <v>31</v>
      </c>
      <c r="L99" t="s">
        <v>32</v>
      </c>
      <c r="M99">
        <v>171</v>
      </c>
      <c r="N99" t="str">
        <f t="shared" si="1"/>
        <v>111_171</v>
      </c>
      <c r="O99" t="s">
        <v>31</v>
      </c>
      <c r="P99">
        <v>330710</v>
      </c>
      <c r="Q99" t="s">
        <v>31</v>
      </c>
      <c r="R99" t="s">
        <v>31</v>
      </c>
      <c r="S99" t="s">
        <v>31</v>
      </c>
      <c r="T99" t="s">
        <v>31</v>
      </c>
      <c r="U99">
        <f>_xll.OneStreamExcelAddIn.XFFunctions.XFGetCell(A99,B99,C99,D99,E99,F99,G99,H99,I99,J99,K99,L99,M99,N99,O99,P99,Q99,R99,S99,T99)</f>
        <v>0</v>
      </c>
    </row>
    <row r="100" spans="1:21">
      <c r="A100" t="b">
        <v>1</v>
      </c>
      <c r="B100" t="s">
        <v>26</v>
      </c>
      <c r="C100">
        <v>111</v>
      </c>
      <c r="E100" t="s">
        <v>38</v>
      </c>
      <c r="F100" t="s">
        <v>27</v>
      </c>
      <c r="G100" t="str">
        <f>INDEX('User Inputs'!$G$3:$G$14,MATCH(1,'User Inputs'!$J$3:$J$14,0))</f>
        <v>2026M05</v>
      </c>
      <c r="H100" t="s">
        <v>29</v>
      </c>
      <c r="I100">
        <v>616000</v>
      </c>
      <c r="J100" t="s">
        <v>41</v>
      </c>
      <c r="K100" t="s">
        <v>31</v>
      </c>
      <c r="L100" t="s">
        <v>32</v>
      </c>
      <c r="M100">
        <v>171</v>
      </c>
      <c r="N100" t="str">
        <f t="shared" si="1"/>
        <v>111_171</v>
      </c>
      <c r="O100" t="s">
        <v>31</v>
      </c>
      <c r="P100">
        <v>330700</v>
      </c>
      <c r="Q100" t="s">
        <v>31</v>
      </c>
      <c r="R100" t="s">
        <v>31</v>
      </c>
      <c r="S100" t="s">
        <v>31</v>
      </c>
      <c r="T100" t="s">
        <v>31</v>
      </c>
      <c r="U100">
        <f>_xll.OneStreamExcelAddIn.XFFunctions.XFGetCell(A100,B100,C100,D100,E100,F100,G100,H100,I100,J100,K100,L100,M100,N100,O100,P100,Q100,R100,S100,T100)</f>
        <v>0</v>
      </c>
    </row>
    <row r="101" spans="1:21">
      <c r="A101" t="b">
        <v>1</v>
      </c>
      <c r="B101" t="s">
        <v>26</v>
      </c>
      <c r="C101">
        <v>111</v>
      </c>
      <c r="E101" t="s">
        <v>38</v>
      </c>
      <c r="F101" t="s">
        <v>27</v>
      </c>
      <c r="G101" t="str">
        <f>INDEX('User Inputs'!$G$3:$G$14,MATCH(1,'User Inputs'!$J$3:$J$14,0))</f>
        <v>2026M05</v>
      </c>
      <c r="H101" t="s">
        <v>29</v>
      </c>
      <c r="I101">
        <v>618000</v>
      </c>
      <c r="J101" t="s">
        <v>41</v>
      </c>
      <c r="K101" t="s">
        <v>31</v>
      </c>
      <c r="L101" t="s">
        <v>32</v>
      </c>
      <c r="M101">
        <v>171</v>
      </c>
      <c r="N101" t="str">
        <f t="shared" si="1"/>
        <v>111_171</v>
      </c>
      <c r="O101" t="s">
        <v>31</v>
      </c>
      <c r="P101">
        <v>330800</v>
      </c>
      <c r="Q101" t="s">
        <v>31</v>
      </c>
      <c r="R101" t="s">
        <v>31</v>
      </c>
      <c r="S101" t="s">
        <v>31</v>
      </c>
      <c r="T101" t="s">
        <v>31</v>
      </c>
      <c r="U101">
        <f>_xll.OneStreamExcelAddIn.XFFunctions.XFGetCell(A101,B101,C101,D101,E101,F101,G101,H101,I101,J101,K101,L101,M101,N101,O101,P101,Q101,R101,S101,T101)</f>
        <v>0</v>
      </c>
    </row>
    <row r="102" spans="1:21">
      <c r="A102" t="b">
        <v>1</v>
      </c>
      <c r="B102" t="s">
        <v>26</v>
      </c>
      <c r="C102">
        <v>111</v>
      </c>
      <c r="E102" t="s">
        <v>38</v>
      </c>
      <c r="F102" t="s">
        <v>27</v>
      </c>
      <c r="G102" t="str">
        <f>INDEX('User Inputs'!$G$3:$G$14,MATCH(1,'User Inputs'!$J$3:$J$14,0))</f>
        <v>2026M05</v>
      </c>
      <c r="H102" t="s">
        <v>29</v>
      </c>
      <c r="I102">
        <v>618050</v>
      </c>
      <c r="J102" t="s">
        <v>41</v>
      </c>
      <c r="K102" t="s">
        <v>31</v>
      </c>
      <c r="L102" t="s">
        <v>32</v>
      </c>
      <c r="M102">
        <v>171</v>
      </c>
      <c r="N102" t="str">
        <f t="shared" si="1"/>
        <v>111_171</v>
      </c>
      <c r="O102" t="s">
        <v>31</v>
      </c>
      <c r="P102">
        <v>330900</v>
      </c>
      <c r="Q102" t="s">
        <v>31</v>
      </c>
      <c r="R102" t="s">
        <v>31</v>
      </c>
      <c r="S102" t="s">
        <v>31</v>
      </c>
      <c r="T102" t="s">
        <v>31</v>
      </c>
      <c r="U102">
        <f>_xll.OneStreamExcelAddIn.XFFunctions.XFGetCell(A102,B102,C102,D102,E102,F102,G102,H102,I102,J102,K102,L102,M102,N102,O102,P102,Q102,R102,S102,T102)</f>
        <v>0</v>
      </c>
    </row>
    <row r="103" spans="1:21">
      <c r="A103" t="b">
        <v>1</v>
      </c>
      <c r="B103" t="s">
        <v>26</v>
      </c>
      <c r="C103">
        <v>111</v>
      </c>
      <c r="E103" t="s">
        <v>38</v>
      </c>
      <c r="F103" t="s">
        <v>27</v>
      </c>
      <c r="G103" t="str">
        <f>INDEX('User Inputs'!$G$3:$G$14,MATCH(1,'User Inputs'!$J$3:$J$14,0))</f>
        <v>2026M05</v>
      </c>
      <c r="H103" t="s">
        <v>29</v>
      </c>
      <c r="I103">
        <v>618050</v>
      </c>
      <c r="J103" t="s">
        <v>41</v>
      </c>
      <c r="K103" t="s">
        <v>31</v>
      </c>
      <c r="L103" t="s">
        <v>32</v>
      </c>
      <c r="M103">
        <v>171</v>
      </c>
      <c r="N103" t="str">
        <f t="shared" si="1"/>
        <v>111_171</v>
      </c>
      <c r="O103" t="s">
        <v>31</v>
      </c>
      <c r="P103">
        <v>330910</v>
      </c>
      <c r="Q103" t="s">
        <v>31</v>
      </c>
      <c r="R103" t="s">
        <v>31</v>
      </c>
      <c r="S103" t="s">
        <v>31</v>
      </c>
      <c r="T103" t="s">
        <v>31</v>
      </c>
      <c r="U103">
        <f>_xll.OneStreamExcelAddIn.XFFunctions.XFGetCell(A103,B103,C103,D103,E103,F103,G103,H103,I103,J103,K103,L103,M103,N103,O103,P103,Q103,R103,S103,T103)</f>
        <v>0</v>
      </c>
    </row>
    <row r="104" spans="1:21">
      <c r="A104" t="b">
        <v>1</v>
      </c>
      <c r="B104" t="s">
        <v>26</v>
      </c>
      <c r="C104">
        <v>111</v>
      </c>
      <c r="E104" t="s">
        <v>38</v>
      </c>
      <c r="F104" t="s">
        <v>27</v>
      </c>
      <c r="G104" t="str">
        <f>INDEX('User Inputs'!$G$3:$G$14,MATCH(1,'User Inputs'!$J$3:$J$14,0))</f>
        <v>2026M05</v>
      </c>
      <c r="H104" t="s">
        <v>29</v>
      </c>
      <c r="I104">
        <v>618200</v>
      </c>
      <c r="J104" t="s">
        <v>41</v>
      </c>
      <c r="K104" t="s">
        <v>31</v>
      </c>
      <c r="L104" t="s">
        <v>32</v>
      </c>
      <c r="M104">
        <v>171</v>
      </c>
      <c r="N104" t="str">
        <f t="shared" si="1"/>
        <v>111_171</v>
      </c>
      <c r="O104" t="s">
        <v>31</v>
      </c>
      <c r="P104">
        <v>330920</v>
      </c>
      <c r="Q104" t="s">
        <v>31</v>
      </c>
      <c r="R104" t="s">
        <v>31</v>
      </c>
      <c r="S104" t="s">
        <v>31</v>
      </c>
      <c r="T104" t="s">
        <v>31</v>
      </c>
      <c r="U104">
        <f>_xll.OneStreamExcelAddIn.XFFunctions.XFGetCell(A104,B104,C104,D104,E104,F104,G104,H104,I104,J104,K104,L104,M104,N104,O104,P104,Q104,R104,S104,T104)</f>
        <v>0</v>
      </c>
    </row>
    <row r="105" spans="1:21">
      <c r="A105" t="b">
        <v>1</v>
      </c>
      <c r="B105" t="s">
        <v>26</v>
      </c>
      <c r="C105">
        <v>111</v>
      </c>
      <c r="E105" t="s">
        <v>38</v>
      </c>
      <c r="F105" t="s">
        <v>27</v>
      </c>
      <c r="G105" t="str">
        <f>INDEX('User Inputs'!$G$3:$G$14,MATCH(1,'User Inputs'!$J$3:$J$14,0))</f>
        <v>2026M05</v>
      </c>
      <c r="H105" t="s">
        <v>29</v>
      </c>
      <c r="I105">
        <v>618250</v>
      </c>
      <c r="J105" t="s">
        <v>41</v>
      </c>
      <c r="K105" t="s">
        <v>31</v>
      </c>
      <c r="L105" t="s">
        <v>32</v>
      </c>
      <c r="M105">
        <v>171</v>
      </c>
      <c r="N105" t="str">
        <f t="shared" si="1"/>
        <v>111_171</v>
      </c>
      <c r="O105" t="s">
        <v>31</v>
      </c>
      <c r="P105">
        <v>331020</v>
      </c>
      <c r="Q105" t="s">
        <v>31</v>
      </c>
      <c r="R105" t="s">
        <v>31</v>
      </c>
      <c r="S105" t="s">
        <v>31</v>
      </c>
      <c r="T105" t="s">
        <v>31</v>
      </c>
      <c r="U105">
        <f>_xll.OneStreamExcelAddIn.XFFunctions.XFGetCell(A105,B105,C105,D105,E105,F105,G105,H105,I105,J105,K105,L105,M105,N105,O105,P105,Q105,R105,S105,T105)</f>
        <v>0</v>
      </c>
    </row>
    <row r="106" spans="1:21">
      <c r="A106" t="b">
        <v>1</v>
      </c>
      <c r="B106" t="s">
        <v>26</v>
      </c>
      <c r="C106">
        <v>111</v>
      </c>
      <c r="E106" t="s">
        <v>38</v>
      </c>
      <c r="F106" t="s">
        <v>27</v>
      </c>
      <c r="G106" t="str">
        <f>INDEX('User Inputs'!$G$3:$G$14,MATCH(1,'User Inputs'!$J$3:$J$14,0))</f>
        <v>2026M05</v>
      </c>
      <c r="H106" t="s">
        <v>29</v>
      </c>
      <c r="I106">
        <v>618250</v>
      </c>
      <c r="J106" t="s">
        <v>41</v>
      </c>
      <c r="K106" t="s">
        <v>31</v>
      </c>
      <c r="L106" t="s">
        <v>32</v>
      </c>
      <c r="M106">
        <v>171</v>
      </c>
      <c r="N106" t="str">
        <f t="shared" si="1"/>
        <v>111_171</v>
      </c>
      <c r="O106" t="s">
        <v>31</v>
      </c>
      <c r="P106">
        <v>331000</v>
      </c>
      <c r="Q106" t="s">
        <v>31</v>
      </c>
      <c r="R106" t="s">
        <v>31</v>
      </c>
      <c r="S106" t="s">
        <v>31</v>
      </c>
      <c r="T106" t="s">
        <v>31</v>
      </c>
      <c r="U106">
        <f>_xll.OneStreamExcelAddIn.XFFunctions.XFGetCell(A106,B106,C106,D106,E106,F106,G106,H106,I106,J106,K106,L106,M106,N106,O106,P106,Q106,R106,S106,T106)</f>
        <v>122858</v>
      </c>
    </row>
    <row r="107" spans="1:21">
      <c r="A107" t="b">
        <v>1</v>
      </c>
      <c r="B107" t="s">
        <v>26</v>
      </c>
      <c r="C107">
        <v>111</v>
      </c>
      <c r="E107" t="s">
        <v>38</v>
      </c>
      <c r="F107" t="s">
        <v>27</v>
      </c>
      <c r="G107" t="str">
        <f>INDEX('User Inputs'!$G$3:$G$14,MATCH(1,'User Inputs'!$J$3:$J$14,0))</f>
        <v>2026M05</v>
      </c>
      <c r="H107" t="s">
        <v>29</v>
      </c>
      <c r="I107">
        <v>618250</v>
      </c>
      <c r="J107" t="s">
        <v>41</v>
      </c>
      <c r="K107" t="s">
        <v>31</v>
      </c>
      <c r="L107" t="s">
        <v>32</v>
      </c>
      <c r="M107">
        <v>171</v>
      </c>
      <c r="N107" t="str">
        <f t="shared" si="1"/>
        <v>111_171</v>
      </c>
      <c r="O107" t="s">
        <v>31</v>
      </c>
      <c r="P107">
        <v>331050</v>
      </c>
      <c r="Q107" t="s">
        <v>31</v>
      </c>
      <c r="R107" t="s">
        <v>31</v>
      </c>
      <c r="S107" t="s">
        <v>31</v>
      </c>
      <c r="T107" t="s">
        <v>31</v>
      </c>
      <c r="U107">
        <f>_xll.OneStreamExcelAddIn.XFFunctions.XFGetCell(A107,B107,C107,D107,E107,F107,G107,H107,I107,J107,K107,L107,M107,N107,O107,P107,Q107,R107,S107,T107)</f>
        <v>276164.7</v>
      </c>
    </row>
    <row r="108" spans="1:21">
      <c r="A108" t="b">
        <v>1</v>
      </c>
      <c r="B108" t="s">
        <v>26</v>
      </c>
      <c r="C108">
        <v>111</v>
      </c>
      <c r="E108" t="s">
        <v>38</v>
      </c>
      <c r="F108" t="s">
        <v>27</v>
      </c>
      <c r="G108" t="str">
        <f>INDEX('User Inputs'!$G$3:$G$14,MATCH(1,'User Inputs'!$J$3:$J$14,0))</f>
        <v>2026M05</v>
      </c>
      <c r="H108" t="s">
        <v>29</v>
      </c>
      <c r="I108">
        <v>618250</v>
      </c>
      <c r="J108" t="s">
        <v>41</v>
      </c>
      <c r="K108" t="s">
        <v>31</v>
      </c>
      <c r="L108" t="s">
        <v>32</v>
      </c>
      <c r="M108">
        <v>171</v>
      </c>
      <c r="N108" t="str">
        <f t="shared" si="1"/>
        <v>111_171</v>
      </c>
      <c r="O108" t="s">
        <v>31</v>
      </c>
      <c r="P108">
        <v>331040</v>
      </c>
      <c r="Q108" t="s">
        <v>31</v>
      </c>
      <c r="R108" t="s">
        <v>31</v>
      </c>
      <c r="S108" t="s">
        <v>31</v>
      </c>
      <c r="T108" t="s">
        <v>31</v>
      </c>
      <c r="U108">
        <f>_xll.OneStreamExcelAddIn.XFFunctions.XFGetCell(A108,B108,C108,D108,E108,F108,G108,H108,I108,J108,K108,L108,M108,N108,O108,P108,Q108,R108,S108,T108)</f>
        <v>0</v>
      </c>
    </row>
    <row r="109" spans="1:21">
      <c r="A109" t="b">
        <v>1</v>
      </c>
      <c r="B109" t="s">
        <v>26</v>
      </c>
      <c r="C109">
        <v>111</v>
      </c>
      <c r="E109" t="s">
        <v>38</v>
      </c>
      <c r="F109" t="s">
        <v>27</v>
      </c>
      <c r="G109" t="str">
        <f>INDEX('User Inputs'!$G$3:$G$14,MATCH(1,'User Inputs'!$J$3:$J$14,0))</f>
        <v>2026M05</v>
      </c>
      <c r="H109" t="s">
        <v>29</v>
      </c>
      <c r="I109">
        <v>618250</v>
      </c>
      <c r="J109" t="s">
        <v>41</v>
      </c>
      <c r="K109" t="s">
        <v>31</v>
      </c>
      <c r="L109" t="s">
        <v>32</v>
      </c>
      <c r="M109">
        <v>171</v>
      </c>
      <c r="N109" t="str">
        <f t="shared" si="1"/>
        <v>111_171</v>
      </c>
      <c r="O109" t="s">
        <v>31</v>
      </c>
      <c r="P109">
        <v>331030</v>
      </c>
      <c r="Q109" t="s">
        <v>31</v>
      </c>
      <c r="R109" t="s">
        <v>31</v>
      </c>
      <c r="S109" t="s">
        <v>31</v>
      </c>
      <c r="T109" t="s">
        <v>31</v>
      </c>
      <c r="U109">
        <f>_xll.OneStreamExcelAddIn.XFFunctions.XFGetCell(A109,B109,C109,D109,E109,F109,G109,H109,I109,J109,K109,L109,M109,N109,O109,P109,Q109,R109,S109,T109)</f>
        <v>0</v>
      </c>
    </row>
    <row r="110" spans="1:21">
      <c r="A110" t="b">
        <v>1</v>
      </c>
      <c r="B110" t="s">
        <v>26</v>
      </c>
      <c r="C110">
        <v>111</v>
      </c>
      <c r="E110" t="s">
        <v>38</v>
      </c>
      <c r="F110" t="s">
        <v>27</v>
      </c>
      <c r="G110" t="str">
        <f>INDEX('User Inputs'!$G$3:$G$14,MATCH(1,'User Inputs'!$J$3:$J$14,0))</f>
        <v>2026M05</v>
      </c>
      <c r="H110" t="s">
        <v>29</v>
      </c>
      <c r="I110">
        <v>618250</v>
      </c>
      <c r="J110" t="s">
        <v>41</v>
      </c>
      <c r="K110" t="s">
        <v>31</v>
      </c>
      <c r="L110" t="s">
        <v>32</v>
      </c>
      <c r="M110">
        <v>171</v>
      </c>
      <c r="N110" t="str">
        <f t="shared" si="1"/>
        <v>111_171</v>
      </c>
      <c r="O110" t="s">
        <v>31</v>
      </c>
      <c r="P110">
        <v>331010</v>
      </c>
      <c r="Q110" t="s">
        <v>31</v>
      </c>
      <c r="R110" t="s">
        <v>31</v>
      </c>
      <c r="S110" t="s">
        <v>31</v>
      </c>
      <c r="T110" t="s">
        <v>31</v>
      </c>
      <c r="U110">
        <f>_xll.OneStreamExcelAddIn.XFFunctions.XFGetCell(A110,B110,C110,D110,E110,F110,G110,H110,I110,J110,K110,L110,M110,N110,O110,P110,Q110,R110,S110,T110)</f>
        <v>0</v>
      </c>
    </row>
    <row r="111" spans="1:21">
      <c r="A111" t="b">
        <v>1</v>
      </c>
      <c r="B111" t="s">
        <v>26</v>
      </c>
      <c r="C111">
        <v>111</v>
      </c>
      <c r="E111" t="s">
        <v>38</v>
      </c>
      <c r="F111" t="s">
        <v>27</v>
      </c>
      <c r="G111" t="str">
        <f>INDEX('User Inputs'!$G$3:$G$14,MATCH(1,'User Inputs'!$J$3:$J$14,0))</f>
        <v>2026M05</v>
      </c>
      <c r="H111" t="s">
        <v>29</v>
      </c>
      <c r="I111">
        <v>618300</v>
      </c>
      <c r="J111" t="s">
        <v>41</v>
      </c>
      <c r="K111" t="s">
        <v>31</v>
      </c>
      <c r="L111" t="s">
        <v>32</v>
      </c>
      <c r="M111">
        <v>171</v>
      </c>
      <c r="N111" t="str">
        <f t="shared" si="1"/>
        <v>111_171</v>
      </c>
      <c r="O111" t="s">
        <v>31</v>
      </c>
      <c r="P111">
        <v>331200</v>
      </c>
      <c r="Q111" t="s">
        <v>31</v>
      </c>
      <c r="R111" t="s">
        <v>31</v>
      </c>
      <c r="S111" t="s">
        <v>31</v>
      </c>
      <c r="T111" t="s">
        <v>31</v>
      </c>
      <c r="U111">
        <f>_xll.OneStreamExcelAddIn.XFFunctions.XFGetCell(A111,B111,C111,D111,E111,F111,G111,H111,I111,J111,K111,L111,M111,N111,O111,P111,Q111,R111,S111,T111)</f>
        <v>53867</v>
      </c>
    </row>
    <row r="112" spans="1:21">
      <c r="A112" t="b">
        <v>1</v>
      </c>
      <c r="B112" t="s">
        <v>26</v>
      </c>
      <c r="C112">
        <v>111</v>
      </c>
      <c r="E112" t="s">
        <v>38</v>
      </c>
      <c r="F112" t="s">
        <v>27</v>
      </c>
      <c r="G112" t="str">
        <f>INDEX('User Inputs'!$G$3:$G$14,MATCH(1,'User Inputs'!$J$3:$J$14,0))</f>
        <v>2026M05</v>
      </c>
      <c r="H112" t="s">
        <v>29</v>
      </c>
      <c r="I112">
        <v>618300</v>
      </c>
      <c r="J112" t="s">
        <v>41</v>
      </c>
      <c r="K112" t="s">
        <v>31</v>
      </c>
      <c r="L112" t="s">
        <v>32</v>
      </c>
      <c r="M112">
        <v>171</v>
      </c>
      <c r="N112" t="str">
        <f t="shared" si="1"/>
        <v>111_171</v>
      </c>
      <c r="O112" t="s">
        <v>31</v>
      </c>
      <c r="P112">
        <v>331240</v>
      </c>
      <c r="Q112" t="s">
        <v>31</v>
      </c>
      <c r="R112" t="s">
        <v>31</v>
      </c>
      <c r="S112" t="s">
        <v>31</v>
      </c>
      <c r="T112" t="s">
        <v>31</v>
      </c>
      <c r="U112">
        <f>_xll.OneStreamExcelAddIn.XFFunctions.XFGetCell(A112,B112,C112,D112,E112,F112,G112,H112,I112,J112,K112,L112,M112,N112,O112,P112,Q112,R112,S112,T112)</f>
        <v>0</v>
      </c>
    </row>
    <row r="113" spans="1:21">
      <c r="A113" t="b">
        <v>1</v>
      </c>
      <c r="B113" t="s">
        <v>26</v>
      </c>
      <c r="C113">
        <v>111</v>
      </c>
      <c r="E113" t="s">
        <v>38</v>
      </c>
      <c r="F113" t="s">
        <v>27</v>
      </c>
      <c r="G113" t="str">
        <f>INDEX('User Inputs'!$G$3:$G$14,MATCH(1,'User Inputs'!$J$3:$J$14,0))</f>
        <v>2026M05</v>
      </c>
      <c r="H113" t="s">
        <v>29</v>
      </c>
      <c r="I113">
        <v>618300</v>
      </c>
      <c r="J113" t="s">
        <v>41</v>
      </c>
      <c r="K113" t="s">
        <v>31</v>
      </c>
      <c r="L113" t="s">
        <v>32</v>
      </c>
      <c r="M113">
        <v>171</v>
      </c>
      <c r="N113" t="str">
        <f t="shared" si="1"/>
        <v>111_171</v>
      </c>
      <c r="O113" t="s">
        <v>31</v>
      </c>
      <c r="P113">
        <v>331230</v>
      </c>
      <c r="Q113" t="s">
        <v>31</v>
      </c>
      <c r="R113" t="s">
        <v>31</v>
      </c>
      <c r="S113" t="s">
        <v>31</v>
      </c>
      <c r="T113" t="s">
        <v>31</v>
      </c>
      <c r="U113">
        <f>_xll.OneStreamExcelAddIn.XFFunctions.XFGetCell(A113,B113,C113,D113,E113,F113,G113,H113,I113,J113,K113,L113,M113,N113,O113,P113,Q113,R113,S113,T113)</f>
        <v>0</v>
      </c>
    </row>
    <row r="114" spans="1:21">
      <c r="A114" t="b">
        <v>1</v>
      </c>
      <c r="B114" t="s">
        <v>26</v>
      </c>
      <c r="C114">
        <v>111</v>
      </c>
      <c r="E114" t="s">
        <v>38</v>
      </c>
      <c r="F114" t="s">
        <v>27</v>
      </c>
      <c r="G114" t="str">
        <f>INDEX('User Inputs'!$G$3:$G$14,MATCH(1,'User Inputs'!$J$3:$J$14,0))</f>
        <v>2026M05</v>
      </c>
      <c r="H114" t="s">
        <v>29</v>
      </c>
      <c r="I114">
        <v>618300</v>
      </c>
      <c r="J114" t="s">
        <v>41</v>
      </c>
      <c r="K114" t="s">
        <v>31</v>
      </c>
      <c r="L114" t="s">
        <v>32</v>
      </c>
      <c r="M114">
        <v>171</v>
      </c>
      <c r="N114" t="str">
        <f t="shared" si="1"/>
        <v>111_171</v>
      </c>
      <c r="O114" t="s">
        <v>31</v>
      </c>
      <c r="P114">
        <v>331220</v>
      </c>
      <c r="Q114" t="s">
        <v>31</v>
      </c>
      <c r="R114" t="s">
        <v>31</v>
      </c>
      <c r="S114" t="s">
        <v>31</v>
      </c>
      <c r="T114" t="s">
        <v>31</v>
      </c>
      <c r="U114">
        <f>_xll.OneStreamExcelAddIn.XFFunctions.XFGetCell(A114,B114,C114,D114,E114,F114,G114,H114,I114,J114,K114,L114,M114,N114,O114,P114,Q114,R114,S114,T114)</f>
        <v>0</v>
      </c>
    </row>
    <row r="115" spans="1:21">
      <c r="A115" t="b">
        <v>1</v>
      </c>
      <c r="B115" t="s">
        <v>26</v>
      </c>
      <c r="C115">
        <v>111</v>
      </c>
      <c r="E115" t="s">
        <v>38</v>
      </c>
      <c r="F115" t="s">
        <v>27</v>
      </c>
      <c r="G115" t="str">
        <f>INDEX('User Inputs'!$G$3:$G$14,MATCH(1,'User Inputs'!$J$3:$J$14,0))</f>
        <v>2026M05</v>
      </c>
      <c r="H115" t="s">
        <v>29</v>
      </c>
      <c r="I115">
        <v>618300</v>
      </c>
      <c r="J115" t="s">
        <v>41</v>
      </c>
      <c r="K115" t="s">
        <v>31</v>
      </c>
      <c r="L115" t="s">
        <v>32</v>
      </c>
      <c r="M115">
        <v>171</v>
      </c>
      <c r="N115" t="str">
        <f t="shared" si="1"/>
        <v>111_171</v>
      </c>
      <c r="O115" t="s">
        <v>31</v>
      </c>
      <c r="P115">
        <v>331210</v>
      </c>
      <c r="Q115" t="s">
        <v>31</v>
      </c>
      <c r="R115" t="s">
        <v>31</v>
      </c>
      <c r="S115" t="s">
        <v>31</v>
      </c>
      <c r="T115" t="s">
        <v>31</v>
      </c>
      <c r="U115">
        <f>_xll.OneStreamExcelAddIn.XFFunctions.XFGetCell(A115,B115,C115,D115,E115,F115,G115,H115,I115,J115,K115,L115,M115,N115,O115,P115,Q115,R115,S115,T115)</f>
        <v>0</v>
      </c>
    </row>
    <row r="116" spans="1:21">
      <c r="A116" t="b">
        <v>1</v>
      </c>
      <c r="B116" t="s">
        <v>26</v>
      </c>
      <c r="C116">
        <v>111</v>
      </c>
      <c r="E116" t="s">
        <v>38</v>
      </c>
      <c r="F116" t="s">
        <v>27</v>
      </c>
      <c r="G116" t="str">
        <f>INDEX('User Inputs'!$G$3:$G$14,MATCH(1,'User Inputs'!$J$3:$J$14,0))</f>
        <v>2026M05</v>
      </c>
      <c r="H116" t="s">
        <v>29</v>
      </c>
      <c r="I116">
        <v>618300</v>
      </c>
      <c r="J116" t="s">
        <v>41</v>
      </c>
      <c r="K116" t="s">
        <v>31</v>
      </c>
      <c r="L116" t="s">
        <v>32</v>
      </c>
      <c r="M116">
        <v>171</v>
      </c>
      <c r="N116" t="str">
        <f t="shared" si="1"/>
        <v>111_171</v>
      </c>
      <c r="O116" t="s">
        <v>31</v>
      </c>
      <c r="P116">
        <v>331250</v>
      </c>
      <c r="Q116" t="s">
        <v>31</v>
      </c>
      <c r="R116" t="s">
        <v>31</v>
      </c>
      <c r="S116" t="s">
        <v>31</v>
      </c>
      <c r="T116" t="s">
        <v>31</v>
      </c>
      <c r="U116">
        <f>_xll.OneStreamExcelAddIn.XFFunctions.XFGetCell(A116,B116,C116,D116,E116,F116,G116,H116,I116,J116,K116,L116,M116,N116,O116,P116,Q116,R116,S116,T116)</f>
        <v>0</v>
      </c>
    </row>
    <row r="117" spans="1:21">
      <c r="A117" t="b">
        <v>1</v>
      </c>
      <c r="B117" t="s">
        <v>26</v>
      </c>
      <c r="C117">
        <v>111</v>
      </c>
      <c r="E117" t="s">
        <v>38</v>
      </c>
      <c r="F117" t="s">
        <v>27</v>
      </c>
      <c r="G117" t="str">
        <f>INDEX('User Inputs'!$G$3:$G$14,MATCH(1,'User Inputs'!$J$3:$J$14,0))</f>
        <v>2026M05</v>
      </c>
      <c r="H117" t="s">
        <v>29</v>
      </c>
      <c r="I117">
        <v>618350</v>
      </c>
      <c r="J117" t="s">
        <v>41</v>
      </c>
      <c r="K117" t="s">
        <v>31</v>
      </c>
      <c r="L117" t="s">
        <v>32</v>
      </c>
      <c r="M117">
        <v>171</v>
      </c>
      <c r="N117" t="str">
        <f t="shared" si="1"/>
        <v>111_171</v>
      </c>
      <c r="O117" t="s">
        <v>31</v>
      </c>
      <c r="P117">
        <v>331300</v>
      </c>
      <c r="Q117" t="s">
        <v>31</v>
      </c>
      <c r="R117" t="s">
        <v>31</v>
      </c>
      <c r="S117" t="s">
        <v>31</v>
      </c>
      <c r="T117" t="s">
        <v>31</v>
      </c>
      <c r="U117">
        <f>_xll.OneStreamExcelAddIn.XFFunctions.XFGetCell(A117,B117,C117,D117,E117,F117,G117,H117,I117,J117,K117,L117,M117,N117,O117,P117,Q117,R117,S117,T117)</f>
        <v>0</v>
      </c>
    </row>
    <row r="118" spans="1:21">
      <c r="A118" t="b">
        <v>1</v>
      </c>
      <c r="B118" t="s">
        <v>26</v>
      </c>
      <c r="C118">
        <v>111</v>
      </c>
      <c r="E118" t="s">
        <v>38</v>
      </c>
      <c r="F118" t="s">
        <v>27</v>
      </c>
      <c r="G118" t="str">
        <f>INDEX('User Inputs'!$G$3:$G$14,MATCH(1,'User Inputs'!$J$3:$J$14,0))</f>
        <v>2026M05</v>
      </c>
      <c r="H118" t="s">
        <v>29</v>
      </c>
      <c r="I118">
        <v>626088</v>
      </c>
      <c r="J118" t="s">
        <v>41</v>
      </c>
      <c r="K118" t="s">
        <v>31</v>
      </c>
      <c r="L118" t="s">
        <v>32</v>
      </c>
      <c r="M118">
        <v>171</v>
      </c>
      <c r="N118" t="str">
        <f t="shared" si="1"/>
        <v>111_171</v>
      </c>
      <c r="O118" t="s">
        <v>31</v>
      </c>
      <c r="P118" s="9" t="s">
        <v>31</v>
      </c>
      <c r="Q118" t="s">
        <v>31</v>
      </c>
      <c r="R118" t="s">
        <v>31</v>
      </c>
      <c r="S118" t="s">
        <v>31</v>
      </c>
      <c r="T118" t="s">
        <v>31</v>
      </c>
      <c r="U118">
        <f>_xll.OneStreamExcelAddIn.XFFunctions.XFGetCell(A118,B118,C118,D118,E118,F118,G118,H118,I118,J118,K118,L118,M118,N118,O118,P118,Q118,R118,S118,T118)</f>
        <v>0</v>
      </c>
    </row>
    <row r="119" spans="1:21">
      <c r="A119" t="b">
        <v>1</v>
      </c>
      <c r="B119" t="s">
        <v>26</v>
      </c>
      <c r="C119">
        <v>111</v>
      </c>
      <c r="E119" t="s">
        <v>38</v>
      </c>
      <c r="F119" t="s">
        <v>27</v>
      </c>
      <c r="G119" t="str">
        <f>INDEX('User Inputs'!$G$3:$G$14,MATCH(1,'User Inputs'!$J$3:$J$14,0))</f>
        <v>2026M05</v>
      </c>
      <c r="H119" t="s">
        <v>29</v>
      </c>
      <c r="I119">
        <v>629999</v>
      </c>
      <c r="J119" t="s">
        <v>41</v>
      </c>
      <c r="K119" t="s">
        <v>31</v>
      </c>
      <c r="L119" t="s">
        <v>32</v>
      </c>
      <c r="M119">
        <v>171</v>
      </c>
      <c r="N119" t="str">
        <f t="shared" si="1"/>
        <v>111_171</v>
      </c>
      <c r="O119" t="s">
        <v>31</v>
      </c>
      <c r="P119">
        <v>331100</v>
      </c>
      <c r="Q119" t="s">
        <v>31</v>
      </c>
      <c r="R119" t="s">
        <v>31</v>
      </c>
      <c r="S119" t="s">
        <v>31</v>
      </c>
      <c r="T119" t="s">
        <v>31</v>
      </c>
      <c r="U119">
        <f>_xll.OneStreamExcelAddIn.XFFunctions.XFGetCell(A119,B119,C119,D119,E119,F119,G119,H119,I119,J119,K119,L119,M119,N119,O119,P119,Q119,R119,S119,T119)</f>
        <v>0</v>
      </c>
    </row>
    <row r="120" spans="1:21">
      <c r="A120" t="b">
        <v>1</v>
      </c>
      <c r="B120" t="s">
        <v>26</v>
      </c>
      <c r="C120">
        <v>213</v>
      </c>
      <c r="E120" t="s">
        <v>38</v>
      </c>
      <c r="F120" t="s">
        <v>27</v>
      </c>
      <c r="G120" t="str">
        <f>INDEX('User Inputs'!$G$3:$G$14,MATCH(1,'User Inputs'!$J$3:$J$14,0))</f>
        <v>2026M05</v>
      </c>
      <c r="H120" t="s">
        <v>29</v>
      </c>
      <c r="I120">
        <v>611000</v>
      </c>
      <c r="J120" t="s">
        <v>41</v>
      </c>
      <c r="K120" t="s">
        <v>31</v>
      </c>
      <c r="L120" t="s">
        <v>32</v>
      </c>
      <c r="M120">
        <v>170</v>
      </c>
      <c r="N120" t="str">
        <f t="shared" si="1"/>
        <v>213_170</v>
      </c>
      <c r="O120" t="s">
        <v>31</v>
      </c>
      <c r="P120">
        <v>330130</v>
      </c>
      <c r="Q120" t="s">
        <v>31</v>
      </c>
      <c r="R120" t="s">
        <v>31</v>
      </c>
      <c r="S120" t="s">
        <v>31</v>
      </c>
      <c r="T120" t="s">
        <v>31</v>
      </c>
      <c r="U120">
        <f>_xll.OneStreamExcelAddIn.XFFunctions.XFGetCell(A120,B120,C120,D120,E120,F120,G120,H120,I120,J120,K120,L120,M120,N120,O120,P120,Q120,R120,S120,T120)</f>
        <v>0</v>
      </c>
    </row>
    <row r="121" spans="1:21">
      <c r="A121" t="b">
        <v>1</v>
      </c>
      <c r="B121" t="s">
        <v>26</v>
      </c>
      <c r="C121">
        <v>213</v>
      </c>
      <c r="E121" t="s">
        <v>38</v>
      </c>
      <c r="F121" t="s">
        <v>27</v>
      </c>
      <c r="G121" t="str">
        <f>INDEX('User Inputs'!$G$3:$G$14,MATCH(1,'User Inputs'!$J$3:$J$14,0))</f>
        <v>2026M05</v>
      </c>
      <c r="H121" t="s">
        <v>29</v>
      </c>
      <c r="I121">
        <v>611000</v>
      </c>
      <c r="J121" t="s">
        <v>41</v>
      </c>
      <c r="K121" t="s">
        <v>31</v>
      </c>
      <c r="L121" t="s">
        <v>32</v>
      </c>
      <c r="M121">
        <v>170</v>
      </c>
      <c r="N121" t="str">
        <f t="shared" si="1"/>
        <v>213_170</v>
      </c>
      <c r="O121" t="s">
        <v>31</v>
      </c>
      <c r="P121">
        <v>330160</v>
      </c>
      <c r="Q121" t="s">
        <v>31</v>
      </c>
      <c r="R121" t="s">
        <v>31</v>
      </c>
      <c r="S121" t="s">
        <v>31</v>
      </c>
      <c r="T121" t="s">
        <v>31</v>
      </c>
      <c r="U121">
        <f>_xll.OneStreamExcelAddIn.XFFunctions.XFGetCell(A121,B121,C121,D121,E121,F121,G121,H121,I121,J121,K121,L121,M121,N121,O121,P121,Q121,R121,S121,T121)</f>
        <v>0</v>
      </c>
    </row>
    <row r="122" spans="1:21">
      <c r="A122" t="b">
        <v>1</v>
      </c>
      <c r="B122" t="s">
        <v>26</v>
      </c>
      <c r="C122">
        <v>213</v>
      </c>
      <c r="E122" t="s">
        <v>38</v>
      </c>
      <c r="F122" t="s">
        <v>27</v>
      </c>
      <c r="G122" t="str">
        <f>INDEX('User Inputs'!$G$3:$G$14,MATCH(1,'User Inputs'!$J$3:$J$14,0))</f>
        <v>2026M05</v>
      </c>
      <c r="H122" t="s">
        <v>29</v>
      </c>
      <c r="I122">
        <v>611000</v>
      </c>
      <c r="J122" t="s">
        <v>41</v>
      </c>
      <c r="K122" t="s">
        <v>31</v>
      </c>
      <c r="L122" t="s">
        <v>32</v>
      </c>
      <c r="M122">
        <v>170</v>
      </c>
      <c r="N122" t="str">
        <f t="shared" si="1"/>
        <v>213_170</v>
      </c>
      <c r="O122" t="s">
        <v>31</v>
      </c>
      <c r="P122">
        <v>330170</v>
      </c>
      <c r="Q122" t="s">
        <v>31</v>
      </c>
      <c r="R122" t="s">
        <v>31</v>
      </c>
      <c r="S122" t="s">
        <v>31</v>
      </c>
      <c r="T122" t="s">
        <v>31</v>
      </c>
      <c r="U122">
        <f>_xll.OneStreamExcelAddIn.XFFunctions.XFGetCell(A122,B122,C122,D122,E122,F122,G122,H122,I122,J122,K122,L122,M122,N122,O122,P122,Q122,R122,S122,T122)</f>
        <v>0</v>
      </c>
    </row>
    <row r="123" spans="1:21">
      <c r="A123" t="b">
        <v>1</v>
      </c>
      <c r="B123" t="s">
        <v>26</v>
      </c>
      <c r="C123">
        <v>213</v>
      </c>
      <c r="E123" t="s">
        <v>38</v>
      </c>
      <c r="F123" t="s">
        <v>27</v>
      </c>
      <c r="G123" t="str">
        <f>INDEX('User Inputs'!$G$3:$G$14,MATCH(1,'User Inputs'!$J$3:$J$14,0))</f>
        <v>2026M05</v>
      </c>
      <c r="H123" t="s">
        <v>29</v>
      </c>
      <c r="I123">
        <v>611000</v>
      </c>
      <c r="J123" t="s">
        <v>41</v>
      </c>
      <c r="K123" t="s">
        <v>31</v>
      </c>
      <c r="L123" t="s">
        <v>32</v>
      </c>
      <c r="M123">
        <v>170</v>
      </c>
      <c r="N123" t="str">
        <f t="shared" si="1"/>
        <v>213_170</v>
      </c>
      <c r="O123" t="s">
        <v>31</v>
      </c>
      <c r="P123">
        <v>330120</v>
      </c>
      <c r="Q123" t="s">
        <v>31</v>
      </c>
      <c r="R123" t="s">
        <v>31</v>
      </c>
      <c r="S123" t="s">
        <v>31</v>
      </c>
      <c r="T123" t="s">
        <v>31</v>
      </c>
      <c r="U123">
        <f>_xll.OneStreamExcelAddIn.XFFunctions.XFGetCell(A123,B123,C123,D123,E123,F123,G123,H123,I123,J123,K123,L123,M123,N123,O123,P123,Q123,R123,S123,T123)</f>
        <v>0</v>
      </c>
    </row>
    <row r="124" spans="1:21">
      <c r="A124" t="b">
        <v>1</v>
      </c>
      <c r="B124" t="s">
        <v>26</v>
      </c>
      <c r="C124">
        <v>213</v>
      </c>
      <c r="E124" t="s">
        <v>38</v>
      </c>
      <c r="F124" t="s">
        <v>27</v>
      </c>
      <c r="G124" t="str">
        <f>INDEX('User Inputs'!$G$3:$G$14,MATCH(1,'User Inputs'!$J$3:$J$14,0))</f>
        <v>2026M05</v>
      </c>
      <c r="H124" t="s">
        <v>29</v>
      </c>
      <c r="I124">
        <v>611000</v>
      </c>
      <c r="J124" t="s">
        <v>41</v>
      </c>
      <c r="K124" t="s">
        <v>31</v>
      </c>
      <c r="L124" t="s">
        <v>32</v>
      </c>
      <c r="M124">
        <v>170</v>
      </c>
      <c r="N124" t="str">
        <f t="shared" si="1"/>
        <v>213_170</v>
      </c>
      <c r="O124" t="s">
        <v>31</v>
      </c>
      <c r="P124">
        <v>330100</v>
      </c>
      <c r="Q124" t="s">
        <v>31</v>
      </c>
      <c r="R124" t="s">
        <v>31</v>
      </c>
      <c r="S124" t="s">
        <v>31</v>
      </c>
      <c r="T124" t="s">
        <v>31</v>
      </c>
      <c r="U124">
        <f>_xll.OneStreamExcelAddIn.XFFunctions.XFGetCell(A124,B124,C124,D124,E124,F124,G124,H124,I124,J124,K124,L124,M124,N124,O124,P124,Q124,R124,S124,T124)</f>
        <v>0</v>
      </c>
    </row>
    <row r="125" spans="1:21">
      <c r="A125" t="b">
        <v>1</v>
      </c>
      <c r="B125" t="s">
        <v>26</v>
      </c>
      <c r="C125">
        <v>213</v>
      </c>
      <c r="E125" t="s">
        <v>38</v>
      </c>
      <c r="F125" t="s">
        <v>27</v>
      </c>
      <c r="G125" t="str">
        <f>INDEX('User Inputs'!$G$3:$G$14,MATCH(1,'User Inputs'!$J$3:$J$14,0))</f>
        <v>2026M05</v>
      </c>
      <c r="H125" t="s">
        <v>29</v>
      </c>
      <c r="I125">
        <v>611000</v>
      </c>
      <c r="J125" t="s">
        <v>41</v>
      </c>
      <c r="K125" t="s">
        <v>31</v>
      </c>
      <c r="L125" t="s">
        <v>32</v>
      </c>
      <c r="M125">
        <v>170</v>
      </c>
      <c r="N125" t="str">
        <f t="shared" si="1"/>
        <v>213_170</v>
      </c>
      <c r="O125" t="s">
        <v>31</v>
      </c>
      <c r="P125">
        <v>330150</v>
      </c>
      <c r="Q125" t="s">
        <v>31</v>
      </c>
      <c r="R125" t="s">
        <v>31</v>
      </c>
      <c r="S125" t="s">
        <v>31</v>
      </c>
      <c r="T125" t="s">
        <v>31</v>
      </c>
      <c r="U125">
        <f>_xll.OneStreamExcelAddIn.XFFunctions.XFGetCell(A125,B125,C125,D125,E125,F125,G125,H125,I125,J125,K125,L125,M125,N125,O125,P125,Q125,R125,S125,T125)</f>
        <v>0</v>
      </c>
    </row>
    <row r="126" spans="1:21">
      <c r="A126" t="b">
        <v>1</v>
      </c>
      <c r="B126" t="s">
        <v>26</v>
      </c>
      <c r="C126">
        <v>213</v>
      </c>
      <c r="E126" t="s">
        <v>38</v>
      </c>
      <c r="F126" t="s">
        <v>27</v>
      </c>
      <c r="G126" t="str">
        <f>INDEX('User Inputs'!$G$3:$G$14,MATCH(1,'User Inputs'!$J$3:$J$14,0))</f>
        <v>2026M05</v>
      </c>
      <c r="H126" t="s">
        <v>29</v>
      </c>
      <c r="I126">
        <v>611000</v>
      </c>
      <c r="J126" t="s">
        <v>41</v>
      </c>
      <c r="K126" t="s">
        <v>31</v>
      </c>
      <c r="L126" t="s">
        <v>32</v>
      </c>
      <c r="M126">
        <v>170</v>
      </c>
      <c r="N126" t="str">
        <f t="shared" si="1"/>
        <v>213_170</v>
      </c>
      <c r="O126" t="s">
        <v>31</v>
      </c>
      <c r="P126">
        <v>330110</v>
      </c>
      <c r="Q126" t="s">
        <v>31</v>
      </c>
      <c r="R126" t="s">
        <v>31</v>
      </c>
      <c r="S126" t="s">
        <v>31</v>
      </c>
      <c r="T126" t="s">
        <v>31</v>
      </c>
      <c r="U126">
        <f>_xll.OneStreamExcelAddIn.XFFunctions.XFGetCell(A126,B126,C126,D126,E126,F126,G126,H126,I126,J126,K126,L126,M126,N126,O126,P126,Q126,R126,S126,T126)</f>
        <v>0</v>
      </c>
    </row>
    <row r="127" spans="1:21">
      <c r="A127" t="b">
        <v>1</v>
      </c>
      <c r="B127" t="s">
        <v>26</v>
      </c>
      <c r="C127">
        <v>213</v>
      </c>
      <c r="E127" t="s">
        <v>38</v>
      </c>
      <c r="F127" t="s">
        <v>27</v>
      </c>
      <c r="G127" t="str">
        <f>INDEX('User Inputs'!$G$3:$G$14,MATCH(1,'User Inputs'!$J$3:$J$14,0))</f>
        <v>2026M05</v>
      </c>
      <c r="H127" t="s">
        <v>29</v>
      </c>
      <c r="I127">
        <v>611000</v>
      </c>
      <c r="J127" t="s">
        <v>41</v>
      </c>
      <c r="K127" t="s">
        <v>31</v>
      </c>
      <c r="L127" t="s">
        <v>32</v>
      </c>
      <c r="M127">
        <v>170</v>
      </c>
      <c r="N127" t="str">
        <f t="shared" si="1"/>
        <v>213_170</v>
      </c>
      <c r="O127" t="s">
        <v>31</v>
      </c>
      <c r="P127">
        <v>330180</v>
      </c>
      <c r="Q127" t="s">
        <v>31</v>
      </c>
      <c r="R127" t="s">
        <v>31</v>
      </c>
      <c r="S127" t="s">
        <v>31</v>
      </c>
      <c r="T127" t="s">
        <v>31</v>
      </c>
      <c r="U127">
        <f>_xll.OneStreamExcelAddIn.XFFunctions.XFGetCell(A127,B127,C127,D127,E127,F127,G127,H127,I127,J127,K127,L127,M127,N127,O127,P127,Q127,R127,S127,T127)</f>
        <v>0</v>
      </c>
    </row>
    <row r="128" spans="1:21">
      <c r="A128" t="b">
        <v>1</v>
      </c>
      <c r="B128" t="s">
        <v>26</v>
      </c>
      <c r="C128">
        <v>213</v>
      </c>
      <c r="E128" t="s">
        <v>38</v>
      </c>
      <c r="F128" t="s">
        <v>27</v>
      </c>
      <c r="G128" t="str">
        <f>INDEX('User Inputs'!$G$3:$G$14,MATCH(1,'User Inputs'!$J$3:$J$14,0))</f>
        <v>2026M05</v>
      </c>
      <c r="H128" t="s">
        <v>29</v>
      </c>
      <c r="I128">
        <v>611000</v>
      </c>
      <c r="J128" t="s">
        <v>41</v>
      </c>
      <c r="K128" t="s">
        <v>31</v>
      </c>
      <c r="L128" t="s">
        <v>32</v>
      </c>
      <c r="M128">
        <v>170</v>
      </c>
      <c r="N128" t="str">
        <f t="shared" si="1"/>
        <v>213_170</v>
      </c>
      <c r="O128" t="s">
        <v>31</v>
      </c>
      <c r="P128">
        <v>331200</v>
      </c>
      <c r="Q128" t="s">
        <v>31</v>
      </c>
      <c r="R128" t="s">
        <v>31</v>
      </c>
      <c r="S128" t="s">
        <v>31</v>
      </c>
      <c r="T128" t="s">
        <v>31</v>
      </c>
      <c r="U128">
        <f>_xll.OneStreamExcelAddIn.XFFunctions.XFGetCell(A128,B128,C128,D128,E128,F128,G128,H128,I128,J128,K128,L128,M128,N128,O128,P128,Q128,R128,S128,T128)</f>
        <v>0</v>
      </c>
    </row>
    <row r="129" spans="1:21">
      <c r="A129" t="b">
        <v>1</v>
      </c>
      <c r="B129" t="s">
        <v>26</v>
      </c>
      <c r="C129">
        <v>213</v>
      </c>
      <c r="E129" t="s">
        <v>38</v>
      </c>
      <c r="F129" t="s">
        <v>27</v>
      </c>
      <c r="G129" t="str">
        <f>INDEX('User Inputs'!$G$3:$G$14,MATCH(1,'User Inputs'!$J$3:$J$14,0))</f>
        <v>2026M05</v>
      </c>
      <c r="H129" t="s">
        <v>29</v>
      </c>
      <c r="I129">
        <v>611010</v>
      </c>
      <c r="J129" t="s">
        <v>41</v>
      </c>
      <c r="K129" t="s">
        <v>31</v>
      </c>
      <c r="L129" t="s">
        <v>32</v>
      </c>
      <c r="M129">
        <v>170</v>
      </c>
      <c r="N129" t="str">
        <f t="shared" si="1"/>
        <v>213_170</v>
      </c>
      <c r="O129" t="s">
        <v>31</v>
      </c>
      <c r="P129">
        <v>330210</v>
      </c>
      <c r="Q129" t="s">
        <v>31</v>
      </c>
      <c r="R129" t="s">
        <v>31</v>
      </c>
      <c r="S129" t="s">
        <v>31</v>
      </c>
      <c r="T129" t="s">
        <v>31</v>
      </c>
      <c r="U129">
        <f>_xll.OneStreamExcelAddIn.XFFunctions.XFGetCell(A129,B129,C129,D129,E129,F129,G129,H129,I129,J129,K129,L129,M129,N129,O129,P129,Q129,R129,S129,T129)</f>
        <v>0</v>
      </c>
    </row>
    <row r="130" spans="1:21">
      <c r="A130" t="b">
        <v>1</v>
      </c>
      <c r="B130" t="s">
        <v>26</v>
      </c>
      <c r="C130">
        <v>213</v>
      </c>
      <c r="E130" t="s">
        <v>38</v>
      </c>
      <c r="F130" t="s">
        <v>27</v>
      </c>
      <c r="G130" t="str">
        <f>INDEX('User Inputs'!$G$3:$G$14,MATCH(1,'User Inputs'!$J$3:$J$14,0))</f>
        <v>2026M05</v>
      </c>
      <c r="H130" t="s">
        <v>29</v>
      </c>
      <c r="I130">
        <v>611010</v>
      </c>
      <c r="J130" t="s">
        <v>41</v>
      </c>
      <c r="K130" t="s">
        <v>31</v>
      </c>
      <c r="L130" t="s">
        <v>32</v>
      </c>
      <c r="M130">
        <v>170</v>
      </c>
      <c r="N130" t="str">
        <f t="shared" si="1"/>
        <v>213_170</v>
      </c>
      <c r="O130" t="s">
        <v>31</v>
      </c>
      <c r="P130">
        <v>330200</v>
      </c>
      <c r="Q130" t="s">
        <v>31</v>
      </c>
      <c r="R130" t="s">
        <v>31</v>
      </c>
      <c r="S130" t="s">
        <v>31</v>
      </c>
      <c r="T130" t="s">
        <v>31</v>
      </c>
      <c r="U130">
        <f>_xll.OneStreamExcelAddIn.XFFunctions.XFGetCell(A130,B130,C130,D130,E130,F130,G130,H130,I130,J130,K130,L130,M130,N130,O130,P130,Q130,R130,S130,T130)</f>
        <v>0</v>
      </c>
    </row>
    <row r="131" spans="1:21">
      <c r="A131" t="b">
        <v>1</v>
      </c>
      <c r="B131" t="s">
        <v>26</v>
      </c>
      <c r="C131">
        <v>213</v>
      </c>
      <c r="E131" t="s">
        <v>38</v>
      </c>
      <c r="F131" t="s">
        <v>27</v>
      </c>
      <c r="G131" t="str">
        <f>INDEX('User Inputs'!$G$3:$G$14,MATCH(1,'User Inputs'!$J$3:$J$14,0))</f>
        <v>2026M05</v>
      </c>
      <c r="H131" t="s">
        <v>29</v>
      </c>
      <c r="I131">
        <v>611010</v>
      </c>
      <c r="J131" t="s">
        <v>41</v>
      </c>
      <c r="K131" t="s">
        <v>31</v>
      </c>
      <c r="L131" t="s">
        <v>32</v>
      </c>
      <c r="M131">
        <v>170</v>
      </c>
      <c r="N131" t="str">
        <f t="shared" ref="N131:N194" si="2">_xlfn.CONCAT(C131,"_",M131)</f>
        <v>213_170</v>
      </c>
      <c r="O131" t="s">
        <v>31</v>
      </c>
      <c r="P131">
        <v>330220</v>
      </c>
      <c r="Q131" t="s">
        <v>31</v>
      </c>
      <c r="R131" t="s">
        <v>31</v>
      </c>
      <c r="S131" t="s">
        <v>31</v>
      </c>
      <c r="T131" t="s">
        <v>31</v>
      </c>
      <c r="U131">
        <f>_xll.OneStreamExcelAddIn.XFFunctions.XFGetCell(A131,B131,C131,D131,E131,F131,G131,H131,I131,J131,K131,L131,M131,N131,O131,P131,Q131,R131,S131,T131)</f>
        <v>0</v>
      </c>
    </row>
    <row r="132" spans="1:21">
      <c r="A132" t="b">
        <v>1</v>
      </c>
      <c r="B132" t="s">
        <v>26</v>
      </c>
      <c r="C132">
        <v>213</v>
      </c>
      <c r="E132" t="s">
        <v>38</v>
      </c>
      <c r="F132" t="s">
        <v>27</v>
      </c>
      <c r="G132" t="str">
        <f>INDEX('User Inputs'!$G$3:$G$14,MATCH(1,'User Inputs'!$J$3:$J$14,0))</f>
        <v>2026M05</v>
      </c>
      <c r="H132" t="s">
        <v>29</v>
      </c>
      <c r="I132">
        <v>611010</v>
      </c>
      <c r="J132" t="s">
        <v>41</v>
      </c>
      <c r="K132" t="s">
        <v>31</v>
      </c>
      <c r="L132" t="s">
        <v>32</v>
      </c>
      <c r="M132">
        <v>170</v>
      </c>
      <c r="N132" t="str">
        <f t="shared" si="2"/>
        <v>213_170</v>
      </c>
      <c r="O132" t="s">
        <v>31</v>
      </c>
      <c r="P132">
        <v>330250</v>
      </c>
      <c r="Q132" t="s">
        <v>31</v>
      </c>
      <c r="R132" t="s">
        <v>31</v>
      </c>
      <c r="S132" t="s">
        <v>31</v>
      </c>
      <c r="T132" t="s">
        <v>31</v>
      </c>
      <c r="U132">
        <f>_xll.OneStreamExcelAddIn.XFFunctions.XFGetCell(A132,B132,C132,D132,E132,F132,G132,H132,I132,J132,K132,L132,M132,N132,O132,P132,Q132,R132,S132,T132)</f>
        <v>0</v>
      </c>
    </row>
    <row r="133" spans="1:21">
      <c r="A133" t="b">
        <v>1</v>
      </c>
      <c r="B133" t="s">
        <v>26</v>
      </c>
      <c r="C133">
        <v>213</v>
      </c>
      <c r="E133" t="s">
        <v>38</v>
      </c>
      <c r="F133" t="s">
        <v>27</v>
      </c>
      <c r="G133" t="str">
        <f>INDEX('User Inputs'!$G$3:$G$14,MATCH(1,'User Inputs'!$J$3:$J$14,0))</f>
        <v>2026M05</v>
      </c>
      <c r="H133" t="s">
        <v>29</v>
      </c>
      <c r="I133">
        <v>611010</v>
      </c>
      <c r="J133" t="s">
        <v>41</v>
      </c>
      <c r="K133" t="s">
        <v>31</v>
      </c>
      <c r="L133" t="s">
        <v>32</v>
      </c>
      <c r="M133">
        <v>170</v>
      </c>
      <c r="N133" t="str">
        <f t="shared" si="2"/>
        <v>213_170</v>
      </c>
      <c r="O133" t="s">
        <v>31</v>
      </c>
      <c r="P133">
        <v>330230</v>
      </c>
      <c r="Q133" t="s">
        <v>31</v>
      </c>
      <c r="R133" t="s">
        <v>31</v>
      </c>
      <c r="S133" t="s">
        <v>31</v>
      </c>
      <c r="T133" t="s">
        <v>31</v>
      </c>
      <c r="U133">
        <f>_xll.OneStreamExcelAddIn.XFFunctions.XFGetCell(A133,B133,C133,D133,E133,F133,G133,H133,I133,J133,K133,L133,M133,N133,O133,P133,Q133,R133,S133,T133)</f>
        <v>0</v>
      </c>
    </row>
    <row r="134" spans="1:21">
      <c r="A134" t="b">
        <v>1</v>
      </c>
      <c r="B134" t="s">
        <v>26</v>
      </c>
      <c r="C134">
        <v>213</v>
      </c>
      <c r="E134" t="s">
        <v>38</v>
      </c>
      <c r="F134" t="s">
        <v>27</v>
      </c>
      <c r="G134" t="str">
        <f>INDEX('User Inputs'!$G$3:$G$14,MATCH(1,'User Inputs'!$J$3:$J$14,0))</f>
        <v>2026M05</v>
      </c>
      <c r="H134" t="s">
        <v>29</v>
      </c>
      <c r="I134">
        <v>611010</v>
      </c>
      <c r="J134" t="s">
        <v>41</v>
      </c>
      <c r="K134" t="s">
        <v>31</v>
      </c>
      <c r="L134" t="s">
        <v>32</v>
      </c>
      <c r="M134">
        <v>170</v>
      </c>
      <c r="N134" t="str">
        <f t="shared" si="2"/>
        <v>213_170</v>
      </c>
      <c r="O134" t="s">
        <v>31</v>
      </c>
      <c r="P134">
        <v>330260</v>
      </c>
      <c r="Q134" t="s">
        <v>31</v>
      </c>
      <c r="R134" t="s">
        <v>31</v>
      </c>
      <c r="S134" t="s">
        <v>31</v>
      </c>
      <c r="T134" t="s">
        <v>31</v>
      </c>
      <c r="U134">
        <f>_xll.OneStreamExcelAddIn.XFFunctions.XFGetCell(A134,B134,C134,D134,E134,F134,G134,H134,I134,J134,K134,L134,M134,N134,O134,P134,Q134,R134,S134,T134)</f>
        <v>0</v>
      </c>
    </row>
    <row r="135" spans="1:21">
      <c r="A135" t="b">
        <v>1</v>
      </c>
      <c r="B135" t="s">
        <v>26</v>
      </c>
      <c r="C135">
        <v>213</v>
      </c>
      <c r="E135" t="s">
        <v>38</v>
      </c>
      <c r="F135" t="s">
        <v>27</v>
      </c>
      <c r="G135" t="str">
        <f>INDEX('User Inputs'!$G$3:$G$14,MATCH(1,'User Inputs'!$J$3:$J$14,0))</f>
        <v>2026M05</v>
      </c>
      <c r="H135" t="s">
        <v>29</v>
      </c>
      <c r="I135">
        <v>611010</v>
      </c>
      <c r="J135" t="s">
        <v>41</v>
      </c>
      <c r="K135" t="s">
        <v>31</v>
      </c>
      <c r="L135" t="s">
        <v>32</v>
      </c>
      <c r="M135">
        <v>170</v>
      </c>
      <c r="N135" t="str">
        <f t="shared" si="2"/>
        <v>213_170</v>
      </c>
      <c r="O135" t="s">
        <v>31</v>
      </c>
      <c r="P135">
        <v>330240</v>
      </c>
      <c r="Q135" t="s">
        <v>31</v>
      </c>
      <c r="R135" t="s">
        <v>31</v>
      </c>
      <c r="S135" t="s">
        <v>31</v>
      </c>
      <c r="T135" t="s">
        <v>31</v>
      </c>
      <c r="U135">
        <f>_xll.OneStreamExcelAddIn.XFFunctions.XFGetCell(A135,B135,C135,D135,E135,F135,G135,H135,I135,J135,K135,L135,M135,N135,O135,P135,Q135,R135,S135,T135)</f>
        <v>0</v>
      </c>
    </row>
    <row r="136" spans="1:21">
      <c r="A136" t="b">
        <v>1</v>
      </c>
      <c r="B136" t="s">
        <v>26</v>
      </c>
      <c r="C136">
        <v>213</v>
      </c>
      <c r="E136" t="s">
        <v>38</v>
      </c>
      <c r="F136" t="s">
        <v>27</v>
      </c>
      <c r="G136" t="str">
        <f>INDEX('User Inputs'!$G$3:$G$14,MATCH(1,'User Inputs'!$J$3:$J$14,0))</f>
        <v>2026M05</v>
      </c>
      <c r="H136" t="s">
        <v>29</v>
      </c>
      <c r="I136">
        <v>611020</v>
      </c>
      <c r="J136" t="s">
        <v>41</v>
      </c>
      <c r="K136" t="s">
        <v>31</v>
      </c>
      <c r="L136" t="s">
        <v>32</v>
      </c>
      <c r="M136">
        <v>170</v>
      </c>
      <c r="N136" t="str">
        <f t="shared" si="2"/>
        <v>213_170</v>
      </c>
      <c r="O136" t="s">
        <v>31</v>
      </c>
      <c r="P136">
        <v>330330</v>
      </c>
      <c r="Q136" t="s">
        <v>31</v>
      </c>
      <c r="R136" t="s">
        <v>31</v>
      </c>
      <c r="S136" t="s">
        <v>31</v>
      </c>
      <c r="T136" t="s">
        <v>31</v>
      </c>
      <c r="U136">
        <f>_xll.OneStreamExcelAddIn.XFFunctions.XFGetCell(A136,B136,C136,D136,E136,F136,G136,H136,I136,J136,K136,L136,M136,N136,O136,P136,Q136,R136,S136,T136)</f>
        <v>0</v>
      </c>
    </row>
    <row r="137" spans="1:21">
      <c r="A137" t="b">
        <v>1</v>
      </c>
      <c r="B137" t="s">
        <v>26</v>
      </c>
      <c r="C137">
        <v>213</v>
      </c>
      <c r="E137" t="s">
        <v>38</v>
      </c>
      <c r="F137" t="s">
        <v>27</v>
      </c>
      <c r="G137" t="str">
        <f>INDEX('User Inputs'!$G$3:$G$14,MATCH(1,'User Inputs'!$J$3:$J$14,0))</f>
        <v>2026M05</v>
      </c>
      <c r="H137" t="s">
        <v>29</v>
      </c>
      <c r="I137">
        <v>611020</v>
      </c>
      <c r="J137" t="s">
        <v>41</v>
      </c>
      <c r="K137" t="s">
        <v>31</v>
      </c>
      <c r="L137" t="s">
        <v>32</v>
      </c>
      <c r="M137">
        <v>170</v>
      </c>
      <c r="N137" t="str">
        <f t="shared" si="2"/>
        <v>213_170</v>
      </c>
      <c r="O137" t="s">
        <v>31</v>
      </c>
      <c r="P137">
        <v>330300</v>
      </c>
      <c r="Q137" t="s">
        <v>31</v>
      </c>
      <c r="R137" t="s">
        <v>31</v>
      </c>
      <c r="S137" t="s">
        <v>31</v>
      </c>
      <c r="T137" t="s">
        <v>31</v>
      </c>
      <c r="U137">
        <f>_xll.OneStreamExcelAddIn.XFFunctions.XFGetCell(A137,B137,C137,D137,E137,F137,G137,H137,I137,J137,K137,L137,M137,N137,O137,P137,Q137,R137,S137,T137)</f>
        <v>0</v>
      </c>
    </row>
    <row r="138" spans="1:21">
      <c r="A138" t="b">
        <v>1</v>
      </c>
      <c r="B138" t="s">
        <v>26</v>
      </c>
      <c r="C138">
        <v>213</v>
      </c>
      <c r="E138" t="s">
        <v>38</v>
      </c>
      <c r="F138" t="s">
        <v>27</v>
      </c>
      <c r="G138" t="str">
        <f>INDEX('User Inputs'!$G$3:$G$14,MATCH(1,'User Inputs'!$J$3:$J$14,0))</f>
        <v>2026M05</v>
      </c>
      <c r="H138" t="s">
        <v>29</v>
      </c>
      <c r="I138">
        <v>611020</v>
      </c>
      <c r="J138" t="s">
        <v>41</v>
      </c>
      <c r="K138" t="s">
        <v>31</v>
      </c>
      <c r="L138" t="s">
        <v>32</v>
      </c>
      <c r="M138">
        <v>170</v>
      </c>
      <c r="N138" t="str">
        <f t="shared" si="2"/>
        <v>213_170</v>
      </c>
      <c r="O138" t="s">
        <v>31</v>
      </c>
      <c r="P138">
        <v>330340</v>
      </c>
      <c r="Q138" t="s">
        <v>31</v>
      </c>
      <c r="R138" t="s">
        <v>31</v>
      </c>
      <c r="S138" t="s">
        <v>31</v>
      </c>
      <c r="T138" t="s">
        <v>31</v>
      </c>
      <c r="U138">
        <f>_xll.OneStreamExcelAddIn.XFFunctions.XFGetCell(A138,B138,C138,D138,E138,F138,G138,H138,I138,J138,K138,L138,M138,N138,O138,P138,Q138,R138,S138,T138)</f>
        <v>0</v>
      </c>
    </row>
    <row r="139" spans="1:21">
      <c r="A139" t="b">
        <v>1</v>
      </c>
      <c r="B139" t="s">
        <v>26</v>
      </c>
      <c r="C139">
        <v>213</v>
      </c>
      <c r="E139" t="s">
        <v>38</v>
      </c>
      <c r="F139" t="s">
        <v>27</v>
      </c>
      <c r="G139" t="str">
        <f>INDEX('User Inputs'!$G$3:$G$14,MATCH(1,'User Inputs'!$J$3:$J$14,0))</f>
        <v>2026M05</v>
      </c>
      <c r="H139" t="s">
        <v>29</v>
      </c>
      <c r="I139">
        <v>611020</v>
      </c>
      <c r="J139" t="s">
        <v>41</v>
      </c>
      <c r="K139" t="s">
        <v>31</v>
      </c>
      <c r="L139" t="s">
        <v>32</v>
      </c>
      <c r="M139">
        <v>170</v>
      </c>
      <c r="N139" t="str">
        <f t="shared" si="2"/>
        <v>213_170</v>
      </c>
      <c r="O139" t="s">
        <v>31</v>
      </c>
      <c r="P139">
        <v>330350</v>
      </c>
      <c r="Q139" t="s">
        <v>31</v>
      </c>
      <c r="R139" t="s">
        <v>31</v>
      </c>
      <c r="S139" t="s">
        <v>31</v>
      </c>
      <c r="T139" t="s">
        <v>31</v>
      </c>
      <c r="U139">
        <f>_xll.OneStreamExcelAddIn.XFFunctions.XFGetCell(A139,B139,C139,D139,E139,F139,G139,H139,I139,J139,K139,L139,M139,N139,O139,P139,Q139,R139,S139,T139)</f>
        <v>0</v>
      </c>
    </row>
    <row r="140" spans="1:21">
      <c r="A140" t="b">
        <v>1</v>
      </c>
      <c r="B140" t="s">
        <v>26</v>
      </c>
      <c r="C140">
        <v>213</v>
      </c>
      <c r="E140" t="s">
        <v>38</v>
      </c>
      <c r="F140" t="s">
        <v>27</v>
      </c>
      <c r="G140" t="str">
        <f>INDEX('User Inputs'!$G$3:$G$14,MATCH(1,'User Inputs'!$J$3:$J$14,0))</f>
        <v>2026M05</v>
      </c>
      <c r="H140" t="s">
        <v>29</v>
      </c>
      <c r="I140">
        <v>611020</v>
      </c>
      <c r="J140" t="s">
        <v>41</v>
      </c>
      <c r="K140" t="s">
        <v>31</v>
      </c>
      <c r="L140" t="s">
        <v>32</v>
      </c>
      <c r="M140">
        <v>170</v>
      </c>
      <c r="N140" t="str">
        <f t="shared" si="2"/>
        <v>213_170</v>
      </c>
      <c r="O140" t="s">
        <v>31</v>
      </c>
      <c r="P140">
        <v>330320</v>
      </c>
      <c r="Q140" t="s">
        <v>31</v>
      </c>
      <c r="R140" t="s">
        <v>31</v>
      </c>
      <c r="S140" t="s">
        <v>31</v>
      </c>
      <c r="T140" t="s">
        <v>31</v>
      </c>
      <c r="U140">
        <f>_xll.OneStreamExcelAddIn.XFFunctions.XFGetCell(A140,B140,C140,D140,E140,F140,G140,H140,I140,J140,K140,L140,M140,N140,O140,P140,Q140,R140,S140,T140)</f>
        <v>0</v>
      </c>
    </row>
    <row r="141" spans="1:21">
      <c r="A141" t="b">
        <v>1</v>
      </c>
      <c r="B141" t="s">
        <v>26</v>
      </c>
      <c r="C141">
        <v>213</v>
      </c>
      <c r="E141" t="s">
        <v>38</v>
      </c>
      <c r="F141" t="s">
        <v>27</v>
      </c>
      <c r="G141" t="str">
        <f>INDEX('User Inputs'!$G$3:$G$14,MATCH(1,'User Inputs'!$J$3:$J$14,0))</f>
        <v>2026M05</v>
      </c>
      <c r="H141" t="s">
        <v>29</v>
      </c>
      <c r="I141">
        <v>611020</v>
      </c>
      <c r="J141" t="s">
        <v>41</v>
      </c>
      <c r="K141" t="s">
        <v>31</v>
      </c>
      <c r="L141" t="s">
        <v>32</v>
      </c>
      <c r="M141">
        <v>170</v>
      </c>
      <c r="N141" t="str">
        <f t="shared" si="2"/>
        <v>213_170</v>
      </c>
      <c r="O141" t="s">
        <v>31</v>
      </c>
      <c r="P141">
        <v>330360</v>
      </c>
      <c r="Q141" t="s">
        <v>31</v>
      </c>
      <c r="R141" t="s">
        <v>31</v>
      </c>
      <c r="S141" t="s">
        <v>31</v>
      </c>
      <c r="T141" t="s">
        <v>31</v>
      </c>
      <c r="U141">
        <f>_xll.OneStreamExcelAddIn.XFFunctions.XFGetCell(A141,B141,C141,D141,E141,F141,G141,H141,I141,J141,K141,L141,M141,N141,O141,P141,Q141,R141,S141,T141)</f>
        <v>0</v>
      </c>
    </row>
    <row r="142" spans="1:21">
      <c r="A142" t="b">
        <v>1</v>
      </c>
      <c r="B142" t="s">
        <v>26</v>
      </c>
      <c r="C142">
        <v>213</v>
      </c>
      <c r="E142" t="s">
        <v>38</v>
      </c>
      <c r="F142" t="s">
        <v>27</v>
      </c>
      <c r="G142" t="str">
        <f>INDEX('User Inputs'!$G$3:$G$14,MATCH(1,'User Inputs'!$J$3:$J$14,0))</f>
        <v>2026M05</v>
      </c>
      <c r="H142" t="s">
        <v>29</v>
      </c>
      <c r="I142">
        <v>611020</v>
      </c>
      <c r="J142" t="s">
        <v>41</v>
      </c>
      <c r="K142" t="s">
        <v>31</v>
      </c>
      <c r="L142" t="s">
        <v>32</v>
      </c>
      <c r="M142">
        <v>170</v>
      </c>
      <c r="N142" t="str">
        <f t="shared" si="2"/>
        <v>213_170</v>
      </c>
      <c r="O142" t="s">
        <v>31</v>
      </c>
      <c r="P142">
        <v>330370</v>
      </c>
      <c r="Q142" t="s">
        <v>31</v>
      </c>
      <c r="R142" t="s">
        <v>31</v>
      </c>
      <c r="S142" t="s">
        <v>31</v>
      </c>
      <c r="T142" t="s">
        <v>31</v>
      </c>
      <c r="U142">
        <f>_xll.OneStreamExcelAddIn.XFFunctions.XFGetCell(A142,B142,C142,D142,E142,F142,G142,H142,I142,J142,K142,L142,M142,N142,O142,P142,Q142,R142,S142,T142)</f>
        <v>0</v>
      </c>
    </row>
    <row r="143" spans="1:21">
      <c r="A143" t="b">
        <v>1</v>
      </c>
      <c r="B143" t="s">
        <v>26</v>
      </c>
      <c r="C143">
        <v>213</v>
      </c>
      <c r="E143" t="s">
        <v>38</v>
      </c>
      <c r="F143" t="s">
        <v>27</v>
      </c>
      <c r="G143" t="str">
        <f>INDEX('User Inputs'!$G$3:$G$14,MATCH(1,'User Inputs'!$J$3:$J$14,0))</f>
        <v>2026M05</v>
      </c>
      <c r="H143" t="s">
        <v>29</v>
      </c>
      <c r="I143">
        <v>611020</v>
      </c>
      <c r="J143" t="s">
        <v>41</v>
      </c>
      <c r="K143" t="s">
        <v>31</v>
      </c>
      <c r="L143" t="s">
        <v>32</v>
      </c>
      <c r="M143">
        <v>170</v>
      </c>
      <c r="N143" t="str">
        <f t="shared" si="2"/>
        <v>213_170</v>
      </c>
      <c r="O143" t="s">
        <v>31</v>
      </c>
      <c r="P143">
        <v>330310</v>
      </c>
      <c r="Q143" t="s">
        <v>31</v>
      </c>
      <c r="R143" t="s">
        <v>31</v>
      </c>
      <c r="S143" t="s">
        <v>31</v>
      </c>
      <c r="T143" t="s">
        <v>31</v>
      </c>
      <c r="U143">
        <f>_xll.OneStreamExcelAddIn.XFFunctions.XFGetCell(A143,B143,C143,D143,E143,F143,G143,H143,I143,J143,K143,L143,M143,N143,O143,P143,Q143,R143,S143,T143)</f>
        <v>0</v>
      </c>
    </row>
    <row r="144" spans="1:21">
      <c r="A144" t="b">
        <v>1</v>
      </c>
      <c r="B144" t="s">
        <v>26</v>
      </c>
      <c r="C144">
        <v>213</v>
      </c>
      <c r="E144" t="s">
        <v>38</v>
      </c>
      <c r="F144" t="s">
        <v>27</v>
      </c>
      <c r="G144" t="str">
        <f>INDEX('User Inputs'!$G$3:$G$14,MATCH(1,'User Inputs'!$J$3:$J$14,0))</f>
        <v>2026M05</v>
      </c>
      <c r="H144" t="s">
        <v>29</v>
      </c>
      <c r="I144">
        <v>611020</v>
      </c>
      <c r="J144" t="s">
        <v>41</v>
      </c>
      <c r="K144" t="s">
        <v>31</v>
      </c>
      <c r="L144" t="s">
        <v>32</v>
      </c>
      <c r="M144">
        <v>170</v>
      </c>
      <c r="N144" t="str">
        <f t="shared" si="2"/>
        <v>213_170</v>
      </c>
      <c r="O144" t="s">
        <v>31</v>
      </c>
      <c r="P144">
        <v>330380</v>
      </c>
      <c r="Q144" t="s">
        <v>31</v>
      </c>
      <c r="R144" t="s">
        <v>31</v>
      </c>
      <c r="S144" t="s">
        <v>31</v>
      </c>
      <c r="T144" t="s">
        <v>31</v>
      </c>
      <c r="U144">
        <f>_xll.OneStreamExcelAddIn.XFFunctions.XFGetCell(A144,B144,C144,D144,E144,F144,G144,H144,I144,J144,K144,L144,M144,N144,O144,P144,Q144,R144,S144,T144)</f>
        <v>0</v>
      </c>
    </row>
    <row r="145" spans="1:21">
      <c r="A145" t="b">
        <v>1</v>
      </c>
      <c r="B145" t="s">
        <v>26</v>
      </c>
      <c r="C145">
        <v>213</v>
      </c>
      <c r="E145" t="s">
        <v>38</v>
      </c>
      <c r="F145" t="s">
        <v>27</v>
      </c>
      <c r="G145" t="str">
        <f>INDEX('User Inputs'!$G$3:$G$14,MATCH(1,'User Inputs'!$J$3:$J$14,0))</f>
        <v>2026M05</v>
      </c>
      <c r="H145" t="s">
        <v>29</v>
      </c>
      <c r="I145">
        <v>611030</v>
      </c>
      <c r="J145" t="s">
        <v>41</v>
      </c>
      <c r="K145" t="s">
        <v>31</v>
      </c>
      <c r="L145" t="s">
        <v>32</v>
      </c>
      <c r="M145">
        <v>170</v>
      </c>
      <c r="N145" t="str">
        <f t="shared" si="2"/>
        <v>213_170</v>
      </c>
      <c r="O145" t="s">
        <v>31</v>
      </c>
      <c r="P145">
        <v>330420</v>
      </c>
      <c r="Q145" t="s">
        <v>31</v>
      </c>
      <c r="R145" t="s">
        <v>31</v>
      </c>
      <c r="S145" t="s">
        <v>31</v>
      </c>
      <c r="T145" t="s">
        <v>31</v>
      </c>
      <c r="U145">
        <f>_xll.OneStreamExcelAddIn.XFFunctions.XFGetCell(A145,B145,C145,D145,E145,F145,G145,H145,I145,J145,K145,L145,M145,N145,O145,P145,Q145,R145,S145,T145)</f>
        <v>0</v>
      </c>
    </row>
    <row r="146" spans="1:21">
      <c r="A146" t="b">
        <v>1</v>
      </c>
      <c r="B146" t="s">
        <v>26</v>
      </c>
      <c r="C146">
        <v>213</v>
      </c>
      <c r="E146" t="s">
        <v>38</v>
      </c>
      <c r="F146" t="s">
        <v>27</v>
      </c>
      <c r="G146" t="str">
        <f>INDEX('User Inputs'!$G$3:$G$14,MATCH(1,'User Inputs'!$J$3:$J$14,0))</f>
        <v>2026M05</v>
      </c>
      <c r="H146" t="s">
        <v>29</v>
      </c>
      <c r="I146">
        <v>611030</v>
      </c>
      <c r="J146" t="s">
        <v>41</v>
      </c>
      <c r="K146" t="s">
        <v>31</v>
      </c>
      <c r="L146" t="s">
        <v>32</v>
      </c>
      <c r="M146">
        <v>170</v>
      </c>
      <c r="N146" t="str">
        <f t="shared" si="2"/>
        <v>213_170</v>
      </c>
      <c r="O146" t="s">
        <v>31</v>
      </c>
      <c r="P146">
        <v>330430</v>
      </c>
      <c r="Q146" t="s">
        <v>31</v>
      </c>
      <c r="R146" t="s">
        <v>31</v>
      </c>
      <c r="S146" t="s">
        <v>31</v>
      </c>
      <c r="T146" t="s">
        <v>31</v>
      </c>
      <c r="U146">
        <f>_xll.OneStreamExcelAddIn.XFFunctions.XFGetCell(A146,B146,C146,D146,E146,F146,G146,H146,I146,J146,K146,L146,M146,N146,O146,P146,Q146,R146,S146,T146)</f>
        <v>0</v>
      </c>
    </row>
    <row r="147" spans="1:21">
      <c r="A147" t="b">
        <v>1</v>
      </c>
      <c r="B147" t="s">
        <v>26</v>
      </c>
      <c r="C147">
        <v>213</v>
      </c>
      <c r="E147" t="s">
        <v>38</v>
      </c>
      <c r="F147" t="s">
        <v>27</v>
      </c>
      <c r="G147" t="str">
        <f>INDEX('User Inputs'!$G$3:$G$14,MATCH(1,'User Inputs'!$J$3:$J$14,0))</f>
        <v>2026M05</v>
      </c>
      <c r="H147" t="s">
        <v>29</v>
      </c>
      <c r="I147">
        <v>611030</v>
      </c>
      <c r="J147" t="s">
        <v>41</v>
      </c>
      <c r="K147" t="s">
        <v>31</v>
      </c>
      <c r="L147" t="s">
        <v>32</v>
      </c>
      <c r="M147">
        <v>170</v>
      </c>
      <c r="N147" t="str">
        <f t="shared" si="2"/>
        <v>213_170</v>
      </c>
      <c r="O147" t="s">
        <v>31</v>
      </c>
      <c r="P147">
        <v>330435</v>
      </c>
      <c r="Q147" t="s">
        <v>31</v>
      </c>
      <c r="R147" t="s">
        <v>31</v>
      </c>
      <c r="S147" t="s">
        <v>31</v>
      </c>
      <c r="T147" t="s">
        <v>31</v>
      </c>
      <c r="U147">
        <f>_xll.OneStreamExcelAddIn.XFFunctions.XFGetCell(A147,B147,C147,D147,E147,F147,G147,H147,I147,J147,K147,L147,M147,N147,O147,P147,Q147,R147,S147,T147)</f>
        <v>0</v>
      </c>
    </row>
    <row r="148" spans="1:21">
      <c r="A148" t="b">
        <v>1</v>
      </c>
      <c r="B148" t="s">
        <v>26</v>
      </c>
      <c r="C148">
        <v>213</v>
      </c>
      <c r="E148" t="s">
        <v>38</v>
      </c>
      <c r="F148" t="s">
        <v>27</v>
      </c>
      <c r="G148" t="str">
        <f>INDEX('User Inputs'!$G$3:$G$14,MATCH(1,'User Inputs'!$J$3:$J$14,0))</f>
        <v>2026M05</v>
      </c>
      <c r="H148" t="s">
        <v>29</v>
      </c>
      <c r="I148">
        <v>611030</v>
      </c>
      <c r="J148" t="s">
        <v>41</v>
      </c>
      <c r="K148" t="s">
        <v>31</v>
      </c>
      <c r="L148" t="s">
        <v>32</v>
      </c>
      <c r="M148">
        <v>170</v>
      </c>
      <c r="N148" t="str">
        <f t="shared" si="2"/>
        <v>213_170</v>
      </c>
      <c r="O148" t="s">
        <v>31</v>
      </c>
      <c r="P148">
        <v>330440</v>
      </c>
      <c r="Q148" t="s">
        <v>31</v>
      </c>
      <c r="R148" t="s">
        <v>31</v>
      </c>
      <c r="S148" t="s">
        <v>31</v>
      </c>
      <c r="T148" t="s">
        <v>31</v>
      </c>
      <c r="U148">
        <f>_xll.OneStreamExcelAddIn.XFFunctions.XFGetCell(A148,B148,C148,D148,E148,F148,G148,H148,I148,J148,K148,L148,M148,N148,O148,P148,Q148,R148,S148,T148)</f>
        <v>0</v>
      </c>
    </row>
    <row r="149" spans="1:21">
      <c r="A149" t="b">
        <v>1</v>
      </c>
      <c r="B149" t="s">
        <v>26</v>
      </c>
      <c r="C149">
        <v>213</v>
      </c>
      <c r="E149" t="s">
        <v>38</v>
      </c>
      <c r="F149" t="s">
        <v>27</v>
      </c>
      <c r="G149" t="str">
        <f>INDEX('User Inputs'!$G$3:$G$14,MATCH(1,'User Inputs'!$J$3:$J$14,0))</f>
        <v>2026M05</v>
      </c>
      <c r="H149" t="s">
        <v>29</v>
      </c>
      <c r="I149">
        <v>611030</v>
      </c>
      <c r="J149" t="s">
        <v>41</v>
      </c>
      <c r="K149" t="s">
        <v>31</v>
      </c>
      <c r="L149" t="s">
        <v>32</v>
      </c>
      <c r="M149">
        <v>170</v>
      </c>
      <c r="N149" t="str">
        <f t="shared" si="2"/>
        <v>213_170</v>
      </c>
      <c r="O149" t="s">
        <v>31</v>
      </c>
      <c r="P149">
        <v>330445</v>
      </c>
      <c r="Q149" t="s">
        <v>31</v>
      </c>
      <c r="R149" t="s">
        <v>31</v>
      </c>
      <c r="S149" t="s">
        <v>31</v>
      </c>
      <c r="T149" t="s">
        <v>31</v>
      </c>
      <c r="U149">
        <f>_xll.OneStreamExcelAddIn.XFFunctions.XFGetCell(A149,B149,C149,D149,E149,F149,G149,H149,I149,J149,K149,L149,M149,N149,O149,P149,Q149,R149,S149,T149)</f>
        <v>0</v>
      </c>
    </row>
    <row r="150" spans="1:21">
      <c r="A150" t="b">
        <v>1</v>
      </c>
      <c r="B150" t="s">
        <v>26</v>
      </c>
      <c r="C150">
        <v>213</v>
      </c>
      <c r="E150" t="s">
        <v>38</v>
      </c>
      <c r="F150" t="s">
        <v>27</v>
      </c>
      <c r="G150" t="str">
        <f>INDEX('User Inputs'!$G$3:$G$14,MATCH(1,'User Inputs'!$J$3:$J$14,0))</f>
        <v>2026M05</v>
      </c>
      <c r="H150" t="s">
        <v>29</v>
      </c>
      <c r="I150">
        <v>611030</v>
      </c>
      <c r="J150" t="s">
        <v>41</v>
      </c>
      <c r="K150" t="s">
        <v>31</v>
      </c>
      <c r="L150" t="s">
        <v>32</v>
      </c>
      <c r="M150">
        <v>170</v>
      </c>
      <c r="N150" t="str">
        <f t="shared" si="2"/>
        <v>213_170</v>
      </c>
      <c r="O150" t="s">
        <v>31</v>
      </c>
      <c r="P150">
        <v>330410</v>
      </c>
      <c r="Q150" t="s">
        <v>31</v>
      </c>
      <c r="R150" t="s">
        <v>31</v>
      </c>
      <c r="S150" t="s">
        <v>31</v>
      </c>
      <c r="T150" t="s">
        <v>31</v>
      </c>
      <c r="U150">
        <f>_xll.OneStreamExcelAddIn.XFFunctions.XFGetCell(A150,B150,C150,D150,E150,F150,G150,H150,I150,J150,K150,L150,M150,N150,O150,P150,Q150,R150,S150,T150)</f>
        <v>0</v>
      </c>
    </row>
    <row r="151" spans="1:21">
      <c r="A151" t="b">
        <v>1</v>
      </c>
      <c r="B151" t="s">
        <v>26</v>
      </c>
      <c r="C151">
        <v>213</v>
      </c>
      <c r="E151" t="s">
        <v>38</v>
      </c>
      <c r="F151" t="s">
        <v>27</v>
      </c>
      <c r="G151" t="str">
        <f>INDEX('User Inputs'!$G$3:$G$14,MATCH(1,'User Inputs'!$J$3:$J$14,0))</f>
        <v>2026M05</v>
      </c>
      <c r="H151" t="s">
        <v>29</v>
      </c>
      <c r="I151">
        <v>611040</v>
      </c>
      <c r="J151" t="s">
        <v>41</v>
      </c>
      <c r="K151" t="s">
        <v>31</v>
      </c>
      <c r="L151" t="s">
        <v>32</v>
      </c>
      <c r="M151">
        <v>170</v>
      </c>
      <c r="N151" t="str">
        <f t="shared" si="2"/>
        <v>213_170</v>
      </c>
      <c r="O151" t="s">
        <v>31</v>
      </c>
      <c r="P151">
        <v>330450</v>
      </c>
      <c r="Q151" t="s">
        <v>31</v>
      </c>
      <c r="R151" t="s">
        <v>31</v>
      </c>
      <c r="S151" t="s">
        <v>31</v>
      </c>
      <c r="T151" t="s">
        <v>31</v>
      </c>
      <c r="U151">
        <f>_xll.OneStreamExcelAddIn.XFFunctions.XFGetCell(A151,B151,C151,D151,E151,F151,G151,H151,I151,J151,K151,L151,M151,N151,O151,P151,Q151,R151,S151,T151)</f>
        <v>0</v>
      </c>
    </row>
    <row r="152" spans="1:21">
      <c r="A152" t="b">
        <v>1</v>
      </c>
      <c r="B152" t="s">
        <v>26</v>
      </c>
      <c r="C152">
        <v>213</v>
      </c>
      <c r="E152" t="s">
        <v>38</v>
      </c>
      <c r="F152" t="s">
        <v>27</v>
      </c>
      <c r="G152" t="str">
        <f>INDEX('User Inputs'!$G$3:$G$14,MATCH(1,'User Inputs'!$J$3:$J$14,0))</f>
        <v>2026M05</v>
      </c>
      <c r="H152" t="s">
        <v>29</v>
      </c>
      <c r="I152">
        <v>611588</v>
      </c>
      <c r="J152" t="s">
        <v>41</v>
      </c>
      <c r="K152" t="s">
        <v>31</v>
      </c>
      <c r="L152" t="s">
        <v>32</v>
      </c>
      <c r="M152">
        <v>170</v>
      </c>
      <c r="N152" t="str">
        <f t="shared" si="2"/>
        <v>213_170</v>
      </c>
      <c r="O152" t="s">
        <v>31</v>
      </c>
      <c r="P152">
        <v>330915</v>
      </c>
      <c r="Q152" t="s">
        <v>31</v>
      </c>
      <c r="R152" t="s">
        <v>31</v>
      </c>
      <c r="S152" t="s">
        <v>31</v>
      </c>
      <c r="T152" t="s">
        <v>31</v>
      </c>
      <c r="U152">
        <f>_xll.OneStreamExcelAddIn.XFFunctions.XFGetCell(A152,B152,C152,D152,E152,F152,G152,H152,I152,J152,K152,L152,M152,N152,O152,P152,Q152,R152,S152,T152)</f>
        <v>0</v>
      </c>
    </row>
    <row r="153" spans="1:21">
      <c r="A153" t="b">
        <v>1</v>
      </c>
      <c r="B153" t="s">
        <v>26</v>
      </c>
      <c r="C153">
        <v>213</v>
      </c>
      <c r="E153" t="s">
        <v>38</v>
      </c>
      <c r="F153" t="s">
        <v>27</v>
      </c>
      <c r="G153" t="str">
        <f>INDEX('User Inputs'!$G$3:$G$14,MATCH(1,'User Inputs'!$J$3:$J$14,0))</f>
        <v>2026M05</v>
      </c>
      <c r="H153" t="s">
        <v>29</v>
      </c>
      <c r="I153">
        <v>614100</v>
      </c>
      <c r="J153" t="s">
        <v>41</v>
      </c>
      <c r="K153" t="s">
        <v>31</v>
      </c>
      <c r="L153" t="s">
        <v>32</v>
      </c>
      <c r="M153">
        <v>170</v>
      </c>
      <c r="N153" t="str">
        <f t="shared" si="2"/>
        <v>213_170</v>
      </c>
      <c r="O153" t="s">
        <v>31</v>
      </c>
      <c r="P153">
        <v>330500</v>
      </c>
      <c r="Q153" t="s">
        <v>31</v>
      </c>
      <c r="R153" t="s">
        <v>31</v>
      </c>
      <c r="S153" t="s">
        <v>31</v>
      </c>
      <c r="T153" t="s">
        <v>31</v>
      </c>
      <c r="U153">
        <f>_xll.OneStreamExcelAddIn.XFFunctions.XFGetCell(A153,B153,C153,D153,E153,F153,G153,H153,I153,J153,K153,L153,M153,N153,O153,P153,Q153,R153,S153,T153)</f>
        <v>0</v>
      </c>
    </row>
    <row r="154" spans="1:21">
      <c r="A154" t="b">
        <v>1</v>
      </c>
      <c r="B154" t="s">
        <v>26</v>
      </c>
      <c r="C154">
        <v>213</v>
      </c>
      <c r="E154" t="s">
        <v>38</v>
      </c>
      <c r="F154" t="s">
        <v>27</v>
      </c>
      <c r="G154" t="str">
        <f>INDEX('User Inputs'!$G$3:$G$14,MATCH(1,'User Inputs'!$J$3:$J$14,0))</f>
        <v>2026M05</v>
      </c>
      <c r="H154" t="s">
        <v>29</v>
      </c>
      <c r="I154">
        <v>614200</v>
      </c>
      <c r="J154" t="s">
        <v>41</v>
      </c>
      <c r="K154" t="s">
        <v>31</v>
      </c>
      <c r="L154" t="s">
        <v>32</v>
      </c>
      <c r="M154">
        <v>170</v>
      </c>
      <c r="N154" t="str">
        <f t="shared" si="2"/>
        <v>213_170</v>
      </c>
      <c r="O154" t="s">
        <v>31</v>
      </c>
      <c r="P154">
        <v>330610</v>
      </c>
      <c r="Q154" t="s">
        <v>31</v>
      </c>
      <c r="R154" t="s">
        <v>31</v>
      </c>
      <c r="S154" t="s">
        <v>31</v>
      </c>
      <c r="T154" t="s">
        <v>31</v>
      </c>
      <c r="U154">
        <f>_xll.OneStreamExcelAddIn.XFFunctions.XFGetCell(A154,B154,C154,D154,E154,F154,G154,H154,I154,J154,K154,L154,M154,N154,O154,P154,Q154,R154,S154,T154)</f>
        <v>0</v>
      </c>
    </row>
    <row r="155" spans="1:21">
      <c r="A155" t="b">
        <v>1</v>
      </c>
      <c r="B155" t="s">
        <v>26</v>
      </c>
      <c r="C155">
        <v>213</v>
      </c>
      <c r="E155" t="s">
        <v>38</v>
      </c>
      <c r="F155" t="s">
        <v>27</v>
      </c>
      <c r="G155" t="str">
        <f>INDEX('User Inputs'!$G$3:$G$14,MATCH(1,'User Inputs'!$J$3:$J$14,0))</f>
        <v>2026M05</v>
      </c>
      <c r="H155" t="s">
        <v>29</v>
      </c>
      <c r="I155">
        <v>614200</v>
      </c>
      <c r="J155" t="s">
        <v>41</v>
      </c>
      <c r="K155" t="s">
        <v>31</v>
      </c>
      <c r="L155" t="s">
        <v>32</v>
      </c>
      <c r="M155">
        <v>170</v>
      </c>
      <c r="N155" t="str">
        <f t="shared" si="2"/>
        <v>213_170</v>
      </c>
      <c r="O155" t="s">
        <v>31</v>
      </c>
      <c r="P155">
        <v>330600</v>
      </c>
      <c r="Q155" t="s">
        <v>31</v>
      </c>
      <c r="R155" t="s">
        <v>31</v>
      </c>
      <c r="S155" t="s">
        <v>31</v>
      </c>
      <c r="T155" t="s">
        <v>31</v>
      </c>
      <c r="U155">
        <f>_xll.OneStreamExcelAddIn.XFFunctions.XFGetCell(A155,B155,C155,D155,E155,F155,G155,H155,I155,J155,K155,L155,M155,N155,O155,P155,Q155,R155,S155,T155)</f>
        <v>0</v>
      </c>
    </row>
    <row r="156" spans="1:21">
      <c r="A156" t="b">
        <v>1</v>
      </c>
      <c r="B156" t="s">
        <v>26</v>
      </c>
      <c r="C156">
        <v>213</v>
      </c>
      <c r="E156" t="s">
        <v>38</v>
      </c>
      <c r="F156" t="s">
        <v>27</v>
      </c>
      <c r="G156" t="str">
        <f>INDEX('User Inputs'!$G$3:$G$14,MATCH(1,'User Inputs'!$J$3:$J$14,0))</f>
        <v>2026M05</v>
      </c>
      <c r="H156" t="s">
        <v>29</v>
      </c>
      <c r="I156">
        <v>614200</v>
      </c>
      <c r="J156" t="s">
        <v>41</v>
      </c>
      <c r="K156" t="s">
        <v>31</v>
      </c>
      <c r="L156" t="s">
        <v>32</v>
      </c>
      <c r="M156">
        <v>170</v>
      </c>
      <c r="N156" t="str">
        <f t="shared" si="2"/>
        <v>213_170</v>
      </c>
      <c r="O156" t="s">
        <v>31</v>
      </c>
      <c r="P156">
        <v>330620</v>
      </c>
      <c r="Q156" t="s">
        <v>31</v>
      </c>
      <c r="R156" t="s">
        <v>31</v>
      </c>
      <c r="S156" t="s">
        <v>31</v>
      </c>
      <c r="T156" t="s">
        <v>31</v>
      </c>
      <c r="U156">
        <f>_xll.OneStreamExcelAddIn.XFFunctions.XFGetCell(A156,B156,C156,D156,E156,F156,G156,H156,I156,J156,K156,L156,M156,N156,O156,P156,Q156,R156,S156,T156)</f>
        <v>0</v>
      </c>
    </row>
    <row r="157" spans="1:21">
      <c r="A157" t="b">
        <v>1</v>
      </c>
      <c r="B157" t="s">
        <v>26</v>
      </c>
      <c r="C157">
        <v>213</v>
      </c>
      <c r="E157" t="s">
        <v>38</v>
      </c>
      <c r="F157" t="s">
        <v>27</v>
      </c>
      <c r="G157" t="str">
        <f>INDEX('User Inputs'!$G$3:$G$14,MATCH(1,'User Inputs'!$J$3:$J$14,0))</f>
        <v>2026M05</v>
      </c>
      <c r="H157" t="s">
        <v>29</v>
      </c>
      <c r="I157">
        <v>614200</v>
      </c>
      <c r="J157" t="s">
        <v>41</v>
      </c>
      <c r="K157" t="s">
        <v>31</v>
      </c>
      <c r="L157" t="s">
        <v>32</v>
      </c>
      <c r="M157">
        <v>170</v>
      </c>
      <c r="N157" t="str">
        <f t="shared" si="2"/>
        <v>213_170</v>
      </c>
      <c r="O157" t="s">
        <v>31</v>
      </c>
      <c r="P157">
        <v>330630</v>
      </c>
      <c r="Q157" t="s">
        <v>31</v>
      </c>
      <c r="R157" t="s">
        <v>31</v>
      </c>
      <c r="S157" t="s">
        <v>31</v>
      </c>
      <c r="T157" t="s">
        <v>31</v>
      </c>
      <c r="U157">
        <f>_xll.OneStreamExcelAddIn.XFFunctions.XFGetCell(A157,B157,C157,D157,E157,F157,G157,H157,I157,J157,K157,L157,M157,N157,O157,P157,Q157,R157,S157,T157)</f>
        <v>0</v>
      </c>
    </row>
    <row r="158" spans="1:21">
      <c r="A158" t="b">
        <v>1</v>
      </c>
      <c r="B158" t="s">
        <v>26</v>
      </c>
      <c r="C158">
        <v>213</v>
      </c>
      <c r="E158" t="s">
        <v>38</v>
      </c>
      <c r="F158" t="s">
        <v>27</v>
      </c>
      <c r="G158" t="str">
        <f>INDEX('User Inputs'!$G$3:$G$14,MATCH(1,'User Inputs'!$J$3:$J$14,0))</f>
        <v>2026M05</v>
      </c>
      <c r="H158" t="s">
        <v>29</v>
      </c>
      <c r="I158">
        <v>616000</v>
      </c>
      <c r="J158" t="s">
        <v>41</v>
      </c>
      <c r="K158" t="s">
        <v>31</v>
      </c>
      <c r="L158" t="s">
        <v>32</v>
      </c>
      <c r="M158">
        <v>170</v>
      </c>
      <c r="N158" t="str">
        <f t="shared" si="2"/>
        <v>213_170</v>
      </c>
      <c r="O158" t="s">
        <v>31</v>
      </c>
      <c r="P158">
        <v>330710</v>
      </c>
      <c r="Q158" t="s">
        <v>31</v>
      </c>
      <c r="R158" t="s">
        <v>31</v>
      </c>
      <c r="S158" t="s">
        <v>31</v>
      </c>
      <c r="T158" t="s">
        <v>31</v>
      </c>
      <c r="U158">
        <f>_xll.OneStreamExcelAddIn.XFFunctions.XFGetCell(A158,B158,C158,D158,E158,F158,G158,H158,I158,J158,K158,L158,M158,N158,O158,P158,Q158,R158,S158,T158)</f>
        <v>0</v>
      </c>
    </row>
    <row r="159" spans="1:21">
      <c r="A159" t="b">
        <v>1</v>
      </c>
      <c r="B159" t="s">
        <v>26</v>
      </c>
      <c r="C159">
        <v>213</v>
      </c>
      <c r="E159" t="s">
        <v>38</v>
      </c>
      <c r="F159" t="s">
        <v>27</v>
      </c>
      <c r="G159" t="str">
        <f>INDEX('User Inputs'!$G$3:$G$14,MATCH(1,'User Inputs'!$J$3:$J$14,0))</f>
        <v>2026M05</v>
      </c>
      <c r="H159" t="s">
        <v>29</v>
      </c>
      <c r="I159">
        <v>616000</v>
      </c>
      <c r="J159" t="s">
        <v>41</v>
      </c>
      <c r="K159" t="s">
        <v>31</v>
      </c>
      <c r="L159" t="s">
        <v>32</v>
      </c>
      <c r="M159">
        <v>170</v>
      </c>
      <c r="N159" t="str">
        <f t="shared" si="2"/>
        <v>213_170</v>
      </c>
      <c r="O159" t="s">
        <v>31</v>
      </c>
      <c r="P159">
        <v>330700</v>
      </c>
      <c r="Q159" t="s">
        <v>31</v>
      </c>
      <c r="R159" t="s">
        <v>31</v>
      </c>
      <c r="S159" t="s">
        <v>31</v>
      </c>
      <c r="T159" t="s">
        <v>31</v>
      </c>
      <c r="U159">
        <f>_xll.OneStreamExcelAddIn.XFFunctions.XFGetCell(A159,B159,C159,D159,E159,F159,G159,H159,I159,J159,K159,L159,M159,N159,O159,P159,Q159,R159,S159,T159)</f>
        <v>0</v>
      </c>
    </row>
    <row r="160" spans="1:21">
      <c r="A160" t="b">
        <v>1</v>
      </c>
      <c r="B160" t="s">
        <v>26</v>
      </c>
      <c r="C160">
        <v>213</v>
      </c>
      <c r="E160" t="s">
        <v>38</v>
      </c>
      <c r="F160" t="s">
        <v>27</v>
      </c>
      <c r="G160" t="str">
        <f>INDEX('User Inputs'!$G$3:$G$14,MATCH(1,'User Inputs'!$J$3:$J$14,0))</f>
        <v>2026M05</v>
      </c>
      <c r="H160" t="s">
        <v>29</v>
      </c>
      <c r="I160">
        <v>618000</v>
      </c>
      <c r="J160" t="s">
        <v>41</v>
      </c>
      <c r="K160" t="s">
        <v>31</v>
      </c>
      <c r="L160" t="s">
        <v>32</v>
      </c>
      <c r="M160">
        <v>170</v>
      </c>
      <c r="N160" t="str">
        <f t="shared" si="2"/>
        <v>213_170</v>
      </c>
      <c r="O160" t="s">
        <v>31</v>
      </c>
      <c r="P160">
        <v>330800</v>
      </c>
      <c r="Q160" t="s">
        <v>31</v>
      </c>
      <c r="R160" t="s">
        <v>31</v>
      </c>
      <c r="S160" t="s">
        <v>31</v>
      </c>
      <c r="T160" t="s">
        <v>31</v>
      </c>
      <c r="U160">
        <f>_xll.OneStreamExcelAddIn.XFFunctions.XFGetCell(A160,B160,C160,D160,E160,F160,G160,H160,I160,J160,K160,L160,M160,N160,O160,P160,Q160,R160,S160,T160)</f>
        <v>0</v>
      </c>
    </row>
    <row r="161" spans="1:21">
      <c r="A161" t="b">
        <v>1</v>
      </c>
      <c r="B161" t="s">
        <v>26</v>
      </c>
      <c r="C161">
        <v>213</v>
      </c>
      <c r="E161" t="s">
        <v>38</v>
      </c>
      <c r="F161" t="s">
        <v>27</v>
      </c>
      <c r="G161" t="str">
        <f>INDEX('User Inputs'!$G$3:$G$14,MATCH(1,'User Inputs'!$J$3:$J$14,0))</f>
        <v>2026M05</v>
      </c>
      <c r="H161" t="s">
        <v>29</v>
      </c>
      <c r="I161">
        <v>618050</v>
      </c>
      <c r="J161" t="s">
        <v>41</v>
      </c>
      <c r="K161" t="s">
        <v>31</v>
      </c>
      <c r="L161" t="s">
        <v>32</v>
      </c>
      <c r="M161">
        <v>170</v>
      </c>
      <c r="N161" t="str">
        <f t="shared" si="2"/>
        <v>213_170</v>
      </c>
      <c r="O161" t="s">
        <v>31</v>
      </c>
      <c r="P161">
        <v>330900</v>
      </c>
      <c r="Q161" t="s">
        <v>31</v>
      </c>
      <c r="R161" t="s">
        <v>31</v>
      </c>
      <c r="S161" t="s">
        <v>31</v>
      </c>
      <c r="T161" t="s">
        <v>31</v>
      </c>
      <c r="U161">
        <f>_xll.OneStreamExcelAddIn.XFFunctions.XFGetCell(A161,B161,C161,D161,E161,F161,G161,H161,I161,J161,K161,L161,M161,N161,O161,P161,Q161,R161,S161,T161)</f>
        <v>0</v>
      </c>
    </row>
    <row r="162" spans="1:21">
      <c r="A162" t="b">
        <v>1</v>
      </c>
      <c r="B162" t="s">
        <v>26</v>
      </c>
      <c r="C162">
        <v>213</v>
      </c>
      <c r="E162" t="s">
        <v>38</v>
      </c>
      <c r="F162" t="s">
        <v>27</v>
      </c>
      <c r="G162" t="str">
        <f>INDEX('User Inputs'!$G$3:$G$14,MATCH(1,'User Inputs'!$J$3:$J$14,0))</f>
        <v>2026M05</v>
      </c>
      <c r="H162" t="s">
        <v>29</v>
      </c>
      <c r="I162">
        <v>618050</v>
      </c>
      <c r="J162" t="s">
        <v>41</v>
      </c>
      <c r="K162" t="s">
        <v>31</v>
      </c>
      <c r="L162" t="s">
        <v>32</v>
      </c>
      <c r="M162">
        <v>170</v>
      </c>
      <c r="N162" t="str">
        <f t="shared" si="2"/>
        <v>213_170</v>
      </c>
      <c r="O162" t="s">
        <v>31</v>
      </c>
      <c r="P162">
        <v>330910</v>
      </c>
      <c r="Q162" t="s">
        <v>31</v>
      </c>
      <c r="R162" t="s">
        <v>31</v>
      </c>
      <c r="S162" t="s">
        <v>31</v>
      </c>
      <c r="T162" t="s">
        <v>31</v>
      </c>
      <c r="U162">
        <f>_xll.OneStreamExcelAddIn.XFFunctions.XFGetCell(A162,B162,C162,D162,E162,F162,G162,H162,I162,J162,K162,L162,M162,N162,O162,P162,Q162,R162,S162,T162)</f>
        <v>0</v>
      </c>
    </row>
    <row r="163" spans="1:21">
      <c r="A163" t="b">
        <v>1</v>
      </c>
      <c r="B163" t="s">
        <v>26</v>
      </c>
      <c r="C163">
        <v>213</v>
      </c>
      <c r="E163" t="s">
        <v>38</v>
      </c>
      <c r="F163" t="s">
        <v>27</v>
      </c>
      <c r="G163" t="str">
        <f>INDEX('User Inputs'!$G$3:$G$14,MATCH(1,'User Inputs'!$J$3:$J$14,0))</f>
        <v>2026M05</v>
      </c>
      <c r="H163" t="s">
        <v>29</v>
      </c>
      <c r="I163">
        <v>618200</v>
      </c>
      <c r="J163" t="s">
        <v>41</v>
      </c>
      <c r="K163" t="s">
        <v>31</v>
      </c>
      <c r="L163" t="s">
        <v>32</v>
      </c>
      <c r="M163">
        <v>170</v>
      </c>
      <c r="N163" t="str">
        <f t="shared" si="2"/>
        <v>213_170</v>
      </c>
      <c r="O163" t="s">
        <v>31</v>
      </c>
      <c r="P163">
        <v>330920</v>
      </c>
      <c r="Q163" t="s">
        <v>31</v>
      </c>
      <c r="R163" t="s">
        <v>31</v>
      </c>
      <c r="S163" t="s">
        <v>31</v>
      </c>
      <c r="T163" t="s">
        <v>31</v>
      </c>
      <c r="U163">
        <f>_xll.OneStreamExcelAddIn.XFFunctions.XFGetCell(A163,B163,C163,D163,E163,F163,G163,H163,I163,J163,K163,L163,M163,N163,O163,P163,Q163,R163,S163,T163)</f>
        <v>0</v>
      </c>
    </row>
    <row r="164" spans="1:21">
      <c r="A164" t="b">
        <v>1</v>
      </c>
      <c r="B164" t="s">
        <v>26</v>
      </c>
      <c r="C164">
        <v>213</v>
      </c>
      <c r="E164" t="s">
        <v>38</v>
      </c>
      <c r="F164" t="s">
        <v>27</v>
      </c>
      <c r="G164" t="str">
        <f>INDEX('User Inputs'!$G$3:$G$14,MATCH(1,'User Inputs'!$J$3:$J$14,0))</f>
        <v>2026M05</v>
      </c>
      <c r="H164" t="s">
        <v>29</v>
      </c>
      <c r="I164">
        <v>618250</v>
      </c>
      <c r="J164" t="s">
        <v>41</v>
      </c>
      <c r="K164" t="s">
        <v>31</v>
      </c>
      <c r="L164" t="s">
        <v>32</v>
      </c>
      <c r="M164">
        <v>170</v>
      </c>
      <c r="N164" t="str">
        <f t="shared" si="2"/>
        <v>213_170</v>
      </c>
      <c r="O164" t="s">
        <v>31</v>
      </c>
      <c r="P164">
        <v>331020</v>
      </c>
      <c r="Q164" t="s">
        <v>31</v>
      </c>
      <c r="R164" t="s">
        <v>31</v>
      </c>
      <c r="S164" t="s">
        <v>31</v>
      </c>
      <c r="T164" t="s">
        <v>31</v>
      </c>
      <c r="U164">
        <f>_xll.OneStreamExcelAddIn.XFFunctions.XFGetCell(A164,B164,C164,D164,E164,F164,G164,H164,I164,J164,K164,L164,M164,N164,O164,P164,Q164,R164,S164,T164)</f>
        <v>0</v>
      </c>
    </row>
    <row r="165" spans="1:21">
      <c r="A165" t="b">
        <v>1</v>
      </c>
      <c r="B165" t="s">
        <v>26</v>
      </c>
      <c r="C165">
        <v>213</v>
      </c>
      <c r="E165" t="s">
        <v>38</v>
      </c>
      <c r="F165" t="s">
        <v>27</v>
      </c>
      <c r="G165" t="str">
        <f>INDEX('User Inputs'!$G$3:$G$14,MATCH(1,'User Inputs'!$J$3:$J$14,0))</f>
        <v>2026M05</v>
      </c>
      <c r="H165" t="s">
        <v>29</v>
      </c>
      <c r="I165">
        <v>618250</v>
      </c>
      <c r="J165" t="s">
        <v>41</v>
      </c>
      <c r="K165" t="s">
        <v>31</v>
      </c>
      <c r="L165" t="s">
        <v>32</v>
      </c>
      <c r="M165">
        <v>170</v>
      </c>
      <c r="N165" t="str">
        <f t="shared" si="2"/>
        <v>213_170</v>
      </c>
      <c r="O165" t="s">
        <v>31</v>
      </c>
      <c r="P165">
        <v>331000</v>
      </c>
      <c r="Q165" t="s">
        <v>31</v>
      </c>
      <c r="R165" t="s">
        <v>31</v>
      </c>
      <c r="S165" t="s">
        <v>31</v>
      </c>
      <c r="T165" t="s">
        <v>31</v>
      </c>
      <c r="U165">
        <f>_xll.OneStreamExcelAddIn.XFFunctions.XFGetCell(A165,B165,C165,D165,E165,F165,G165,H165,I165,J165,K165,L165,M165,N165,O165,P165,Q165,R165,S165,T165)</f>
        <v>0</v>
      </c>
    </row>
    <row r="166" spans="1:21">
      <c r="A166" t="b">
        <v>1</v>
      </c>
      <c r="B166" t="s">
        <v>26</v>
      </c>
      <c r="C166">
        <v>213</v>
      </c>
      <c r="E166" t="s">
        <v>38</v>
      </c>
      <c r="F166" t="s">
        <v>27</v>
      </c>
      <c r="G166" t="str">
        <f>INDEX('User Inputs'!$G$3:$G$14,MATCH(1,'User Inputs'!$J$3:$J$14,0))</f>
        <v>2026M05</v>
      </c>
      <c r="H166" t="s">
        <v>29</v>
      </c>
      <c r="I166">
        <v>618250</v>
      </c>
      <c r="J166" t="s">
        <v>41</v>
      </c>
      <c r="K166" t="s">
        <v>31</v>
      </c>
      <c r="L166" t="s">
        <v>32</v>
      </c>
      <c r="M166">
        <v>170</v>
      </c>
      <c r="N166" t="str">
        <f t="shared" si="2"/>
        <v>213_170</v>
      </c>
      <c r="O166" t="s">
        <v>31</v>
      </c>
      <c r="P166">
        <v>331050</v>
      </c>
      <c r="Q166" t="s">
        <v>31</v>
      </c>
      <c r="R166" t="s">
        <v>31</v>
      </c>
      <c r="S166" t="s">
        <v>31</v>
      </c>
      <c r="T166" t="s">
        <v>31</v>
      </c>
      <c r="U166">
        <f>_xll.OneStreamExcelAddIn.XFFunctions.XFGetCell(A166,B166,C166,D166,E166,F166,G166,H166,I166,J166,K166,L166,M166,N166,O166,P166,Q166,R166,S166,T166)</f>
        <v>0</v>
      </c>
    </row>
    <row r="167" spans="1:21">
      <c r="A167" t="b">
        <v>1</v>
      </c>
      <c r="B167" t="s">
        <v>26</v>
      </c>
      <c r="C167">
        <v>213</v>
      </c>
      <c r="E167" t="s">
        <v>38</v>
      </c>
      <c r="F167" t="s">
        <v>27</v>
      </c>
      <c r="G167" t="str">
        <f>INDEX('User Inputs'!$G$3:$G$14,MATCH(1,'User Inputs'!$J$3:$J$14,0))</f>
        <v>2026M05</v>
      </c>
      <c r="H167" t="s">
        <v>29</v>
      </c>
      <c r="I167">
        <v>618250</v>
      </c>
      <c r="J167" t="s">
        <v>41</v>
      </c>
      <c r="K167" t="s">
        <v>31</v>
      </c>
      <c r="L167" t="s">
        <v>32</v>
      </c>
      <c r="M167">
        <v>170</v>
      </c>
      <c r="N167" t="str">
        <f t="shared" si="2"/>
        <v>213_170</v>
      </c>
      <c r="O167" t="s">
        <v>31</v>
      </c>
      <c r="P167">
        <v>331040</v>
      </c>
      <c r="Q167" t="s">
        <v>31</v>
      </c>
      <c r="R167" t="s">
        <v>31</v>
      </c>
      <c r="S167" t="s">
        <v>31</v>
      </c>
      <c r="T167" t="s">
        <v>31</v>
      </c>
      <c r="U167">
        <f>_xll.OneStreamExcelAddIn.XFFunctions.XFGetCell(A167,B167,C167,D167,E167,F167,G167,H167,I167,J167,K167,L167,M167,N167,O167,P167,Q167,R167,S167,T167)</f>
        <v>0</v>
      </c>
    </row>
    <row r="168" spans="1:21">
      <c r="A168" t="b">
        <v>1</v>
      </c>
      <c r="B168" t="s">
        <v>26</v>
      </c>
      <c r="C168">
        <v>213</v>
      </c>
      <c r="E168" t="s">
        <v>38</v>
      </c>
      <c r="F168" t="s">
        <v>27</v>
      </c>
      <c r="G168" t="str">
        <f>INDEX('User Inputs'!$G$3:$G$14,MATCH(1,'User Inputs'!$J$3:$J$14,0))</f>
        <v>2026M05</v>
      </c>
      <c r="H168" t="s">
        <v>29</v>
      </c>
      <c r="I168">
        <v>618250</v>
      </c>
      <c r="J168" t="s">
        <v>41</v>
      </c>
      <c r="K168" t="s">
        <v>31</v>
      </c>
      <c r="L168" t="s">
        <v>32</v>
      </c>
      <c r="M168">
        <v>170</v>
      </c>
      <c r="N168" t="str">
        <f t="shared" si="2"/>
        <v>213_170</v>
      </c>
      <c r="O168" t="s">
        <v>31</v>
      </c>
      <c r="P168">
        <v>331030</v>
      </c>
      <c r="Q168" t="s">
        <v>31</v>
      </c>
      <c r="R168" t="s">
        <v>31</v>
      </c>
      <c r="S168" t="s">
        <v>31</v>
      </c>
      <c r="T168" t="s">
        <v>31</v>
      </c>
      <c r="U168">
        <f>_xll.OneStreamExcelAddIn.XFFunctions.XFGetCell(A168,B168,C168,D168,E168,F168,G168,H168,I168,J168,K168,L168,M168,N168,O168,P168,Q168,R168,S168,T168)</f>
        <v>0</v>
      </c>
    </row>
    <row r="169" spans="1:21">
      <c r="A169" t="b">
        <v>1</v>
      </c>
      <c r="B169" t="s">
        <v>26</v>
      </c>
      <c r="C169">
        <v>213</v>
      </c>
      <c r="E169" t="s">
        <v>38</v>
      </c>
      <c r="F169" t="s">
        <v>27</v>
      </c>
      <c r="G169" t="str">
        <f>INDEX('User Inputs'!$G$3:$G$14,MATCH(1,'User Inputs'!$J$3:$J$14,0))</f>
        <v>2026M05</v>
      </c>
      <c r="H169" t="s">
        <v>29</v>
      </c>
      <c r="I169">
        <v>618250</v>
      </c>
      <c r="J169" t="s">
        <v>41</v>
      </c>
      <c r="K169" t="s">
        <v>31</v>
      </c>
      <c r="L169" t="s">
        <v>32</v>
      </c>
      <c r="M169">
        <v>170</v>
      </c>
      <c r="N169" t="str">
        <f t="shared" si="2"/>
        <v>213_170</v>
      </c>
      <c r="O169" t="s">
        <v>31</v>
      </c>
      <c r="P169">
        <v>331010</v>
      </c>
      <c r="Q169" t="s">
        <v>31</v>
      </c>
      <c r="R169" t="s">
        <v>31</v>
      </c>
      <c r="S169" t="s">
        <v>31</v>
      </c>
      <c r="T169" t="s">
        <v>31</v>
      </c>
      <c r="U169">
        <f>_xll.OneStreamExcelAddIn.XFFunctions.XFGetCell(A169,B169,C169,D169,E169,F169,G169,H169,I169,J169,K169,L169,M169,N169,O169,P169,Q169,R169,S169,T169)</f>
        <v>0</v>
      </c>
    </row>
    <row r="170" spans="1:21">
      <c r="A170" t="b">
        <v>1</v>
      </c>
      <c r="B170" t="s">
        <v>26</v>
      </c>
      <c r="C170">
        <v>213</v>
      </c>
      <c r="E170" t="s">
        <v>38</v>
      </c>
      <c r="F170" t="s">
        <v>27</v>
      </c>
      <c r="G170" t="str">
        <f>INDEX('User Inputs'!$G$3:$G$14,MATCH(1,'User Inputs'!$J$3:$J$14,0))</f>
        <v>2026M05</v>
      </c>
      <c r="H170" t="s">
        <v>29</v>
      </c>
      <c r="I170">
        <v>618300</v>
      </c>
      <c r="J170" t="s">
        <v>41</v>
      </c>
      <c r="K170" t="s">
        <v>31</v>
      </c>
      <c r="L170" t="s">
        <v>32</v>
      </c>
      <c r="M170">
        <v>170</v>
      </c>
      <c r="N170" t="str">
        <f t="shared" si="2"/>
        <v>213_170</v>
      </c>
      <c r="O170" t="s">
        <v>31</v>
      </c>
      <c r="P170">
        <v>331200</v>
      </c>
      <c r="Q170" t="s">
        <v>31</v>
      </c>
      <c r="R170" t="s">
        <v>31</v>
      </c>
      <c r="S170" t="s">
        <v>31</v>
      </c>
      <c r="T170" t="s">
        <v>31</v>
      </c>
      <c r="U170">
        <f>_xll.OneStreamExcelAddIn.XFFunctions.XFGetCell(A170,B170,C170,D170,E170,F170,G170,H170,I170,J170,K170,L170,M170,N170,O170,P170,Q170,R170,S170,T170)</f>
        <v>0</v>
      </c>
    </row>
    <row r="171" spans="1:21">
      <c r="A171" t="b">
        <v>1</v>
      </c>
      <c r="B171" t="s">
        <v>26</v>
      </c>
      <c r="C171">
        <v>213</v>
      </c>
      <c r="E171" t="s">
        <v>38</v>
      </c>
      <c r="F171" t="s">
        <v>27</v>
      </c>
      <c r="G171" t="str">
        <f>INDEX('User Inputs'!$G$3:$G$14,MATCH(1,'User Inputs'!$J$3:$J$14,0))</f>
        <v>2026M05</v>
      </c>
      <c r="H171" t="s">
        <v>29</v>
      </c>
      <c r="I171">
        <v>618300</v>
      </c>
      <c r="J171" t="s">
        <v>41</v>
      </c>
      <c r="K171" t="s">
        <v>31</v>
      </c>
      <c r="L171" t="s">
        <v>32</v>
      </c>
      <c r="M171">
        <v>170</v>
      </c>
      <c r="N171" t="str">
        <f t="shared" si="2"/>
        <v>213_170</v>
      </c>
      <c r="O171" t="s">
        <v>31</v>
      </c>
      <c r="P171">
        <v>331240</v>
      </c>
      <c r="Q171" t="s">
        <v>31</v>
      </c>
      <c r="R171" t="s">
        <v>31</v>
      </c>
      <c r="S171" t="s">
        <v>31</v>
      </c>
      <c r="T171" t="s">
        <v>31</v>
      </c>
      <c r="U171">
        <f>_xll.OneStreamExcelAddIn.XFFunctions.XFGetCell(A171,B171,C171,D171,E171,F171,G171,H171,I171,J171,K171,L171,M171,N171,O171,P171,Q171,R171,S171,T171)</f>
        <v>0</v>
      </c>
    </row>
    <row r="172" spans="1:21">
      <c r="A172" t="b">
        <v>1</v>
      </c>
      <c r="B172" t="s">
        <v>26</v>
      </c>
      <c r="C172">
        <v>213</v>
      </c>
      <c r="E172" t="s">
        <v>38</v>
      </c>
      <c r="F172" t="s">
        <v>27</v>
      </c>
      <c r="G172" t="str">
        <f>INDEX('User Inputs'!$G$3:$G$14,MATCH(1,'User Inputs'!$J$3:$J$14,0))</f>
        <v>2026M05</v>
      </c>
      <c r="H172" t="s">
        <v>29</v>
      </c>
      <c r="I172">
        <v>618300</v>
      </c>
      <c r="J172" t="s">
        <v>41</v>
      </c>
      <c r="K172" t="s">
        <v>31</v>
      </c>
      <c r="L172" t="s">
        <v>32</v>
      </c>
      <c r="M172">
        <v>170</v>
      </c>
      <c r="N172" t="str">
        <f t="shared" si="2"/>
        <v>213_170</v>
      </c>
      <c r="O172" t="s">
        <v>31</v>
      </c>
      <c r="P172">
        <v>331230</v>
      </c>
      <c r="Q172" t="s">
        <v>31</v>
      </c>
      <c r="R172" t="s">
        <v>31</v>
      </c>
      <c r="S172" t="s">
        <v>31</v>
      </c>
      <c r="T172" t="s">
        <v>31</v>
      </c>
      <c r="U172">
        <f>_xll.OneStreamExcelAddIn.XFFunctions.XFGetCell(A172,B172,C172,D172,E172,F172,G172,H172,I172,J172,K172,L172,M172,N172,O172,P172,Q172,R172,S172,T172)</f>
        <v>0</v>
      </c>
    </row>
    <row r="173" spans="1:21">
      <c r="A173" t="b">
        <v>1</v>
      </c>
      <c r="B173" t="s">
        <v>26</v>
      </c>
      <c r="C173">
        <v>213</v>
      </c>
      <c r="E173" t="s">
        <v>38</v>
      </c>
      <c r="F173" t="s">
        <v>27</v>
      </c>
      <c r="G173" t="str">
        <f>INDEX('User Inputs'!$G$3:$G$14,MATCH(1,'User Inputs'!$J$3:$J$14,0))</f>
        <v>2026M05</v>
      </c>
      <c r="H173" t="s">
        <v>29</v>
      </c>
      <c r="I173">
        <v>618300</v>
      </c>
      <c r="J173" t="s">
        <v>41</v>
      </c>
      <c r="K173" t="s">
        <v>31</v>
      </c>
      <c r="L173" t="s">
        <v>32</v>
      </c>
      <c r="M173">
        <v>170</v>
      </c>
      <c r="N173" t="str">
        <f t="shared" si="2"/>
        <v>213_170</v>
      </c>
      <c r="O173" t="s">
        <v>31</v>
      </c>
      <c r="P173">
        <v>331220</v>
      </c>
      <c r="Q173" t="s">
        <v>31</v>
      </c>
      <c r="R173" t="s">
        <v>31</v>
      </c>
      <c r="S173" t="s">
        <v>31</v>
      </c>
      <c r="T173" t="s">
        <v>31</v>
      </c>
      <c r="U173">
        <f>_xll.OneStreamExcelAddIn.XFFunctions.XFGetCell(A173,B173,C173,D173,E173,F173,G173,H173,I173,J173,K173,L173,M173,N173,O173,P173,Q173,R173,S173,T173)</f>
        <v>0</v>
      </c>
    </row>
    <row r="174" spans="1:21">
      <c r="A174" t="b">
        <v>1</v>
      </c>
      <c r="B174" t="s">
        <v>26</v>
      </c>
      <c r="C174">
        <v>213</v>
      </c>
      <c r="E174" t="s">
        <v>38</v>
      </c>
      <c r="F174" t="s">
        <v>27</v>
      </c>
      <c r="G174" t="str">
        <f>INDEX('User Inputs'!$G$3:$G$14,MATCH(1,'User Inputs'!$J$3:$J$14,0))</f>
        <v>2026M05</v>
      </c>
      <c r="H174" t="s">
        <v>29</v>
      </c>
      <c r="I174">
        <v>618300</v>
      </c>
      <c r="J174" t="s">
        <v>41</v>
      </c>
      <c r="K174" t="s">
        <v>31</v>
      </c>
      <c r="L174" t="s">
        <v>32</v>
      </c>
      <c r="M174">
        <v>170</v>
      </c>
      <c r="N174" t="str">
        <f t="shared" si="2"/>
        <v>213_170</v>
      </c>
      <c r="O174" t="s">
        <v>31</v>
      </c>
      <c r="P174">
        <v>331210</v>
      </c>
      <c r="Q174" t="s">
        <v>31</v>
      </c>
      <c r="R174" t="s">
        <v>31</v>
      </c>
      <c r="S174" t="s">
        <v>31</v>
      </c>
      <c r="T174" t="s">
        <v>31</v>
      </c>
      <c r="U174">
        <f>_xll.OneStreamExcelAddIn.XFFunctions.XFGetCell(A174,B174,C174,D174,E174,F174,G174,H174,I174,J174,K174,L174,M174,N174,O174,P174,Q174,R174,S174,T174)</f>
        <v>0</v>
      </c>
    </row>
    <row r="175" spans="1:21">
      <c r="A175" t="b">
        <v>1</v>
      </c>
      <c r="B175" t="s">
        <v>26</v>
      </c>
      <c r="C175">
        <v>213</v>
      </c>
      <c r="E175" t="s">
        <v>38</v>
      </c>
      <c r="F175" t="s">
        <v>27</v>
      </c>
      <c r="G175" t="str">
        <f>INDEX('User Inputs'!$G$3:$G$14,MATCH(1,'User Inputs'!$J$3:$J$14,0))</f>
        <v>2026M05</v>
      </c>
      <c r="H175" t="s">
        <v>29</v>
      </c>
      <c r="I175">
        <v>618300</v>
      </c>
      <c r="J175" t="s">
        <v>41</v>
      </c>
      <c r="K175" t="s">
        <v>31</v>
      </c>
      <c r="L175" t="s">
        <v>32</v>
      </c>
      <c r="M175">
        <v>170</v>
      </c>
      <c r="N175" t="str">
        <f t="shared" si="2"/>
        <v>213_170</v>
      </c>
      <c r="O175" t="s">
        <v>31</v>
      </c>
      <c r="P175">
        <v>331250</v>
      </c>
      <c r="Q175" t="s">
        <v>31</v>
      </c>
      <c r="R175" t="s">
        <v>31</v>
      </c>
      <c r="S175" t="s">
        <v>31</v>
      </c>
      <c r="T175" t="s">
        <v>31</v>
      </c>
      <c r="U175">
        <f>_xll.OneStreamExcelAddIn.XFFunctions.XFGetCell(A175,B175,C175,D175,E175,F175,G175,H175,I175,J175,K175,L175,M175,N175,O175,P175,Q175,R175,S175,T175)</f>
        <v>0</v>
      </c>
    </row>
    <row r="176" spans="1:21">
      <c r="A176" t="b">
        <v>1</v>
      </c>
      <c r="B176" t="s">
        <v>26</v>
      </c>
      <c r="C176">
        <v>213</v>
      </c>
      <c r="E176" t="s">
        <v>38</v>
      </c>
      <c r="F176" t="s">
        <v>27</v>
      </c>
      <c r="G176" t="str">
        <f>INDEX('User Inputs'!$G$3:$G$14,MATCH(1,'User Inputs'!$J$3:$J$14,0))</f>
        <v>2026M05</v>
      </c>
      <c r="H176" t="s">
        <v>29</v>
      </c>
      <c r="I176">
        <v>618350</v>
      </c>
      <c r="J176" t="s">
        <v>41</v>
      </c>
      <c r="K176" t="s">
        <v>31</v>
      </c>
      <c r="L176" t="s">
        <v>32</v>
      </c>
      <c r="M176">
        <v>170</v>
      </c>
      <c r="N176" t="str">
        <f t="shared" si="2"/>
        <v>213_170</v>
      </c>
      <c r="O176" t="s">
        <v>31</v>
      </c>
      <c r="P176">
        <v>331300</v>
      </c>
      <c r="Q176" t="s">
        <v>31</v>
      </c>
      <c r="R176" t="s">
        <v>31</v>
      </c>
      <c r="S176" t="s">
        <v>31</v>
      </c>
      <c r="T176" t="s">
        <v>31</v>
      </c>
      <c r="U176">
        <f>_xll.OneStreamExcelAddIn.XFFunctions.XFGetCell(A176,B176,C176,D176,E176,F176,G176,H176,I176,J176,K176,L176,M176,N176,O176,P176,Q176,R176,S176,T176)</f>
        <v>0</v>
      </c>
    </row>
    <row r="177" spans="1:21">
      <c r="A177" t="b">
        <v>1</v>
      </c>
      <c r="B177" t="s">
        <v>26</v>
      </c>
      <c r="C177">
        <v>213</v>
      </c>
      <c r="E177" t="s">
        <v>38</v>
      </c>
      <c r="F177" t="s">
        <v>27</v>
      </c>
      <c r="G177" t="str">
        <f>INDEX('User Inputs'!$G$3:$G$14,MATCH(1,'User Inputs'!$J$3:$J$14,0))</f>
        <v>2026M05</v>
      </c>
      <c r="H177" t="s">
        <v>29</v>
      </c>
      <c r="I177">
        <v>626088</v>
      </c>
      <c r="J177" t="s">
        <v>41</v>
      </c>
      <c r="K177" t="s">
        <v>31</v>
      </c>
      <c r="L177" t="s">
        <v>32</v>
      </c>
      <c r="M177">
        <v>170</v>
      </c>
      <c r="N177" t="str">
        <f t="shared" si="2"/>
        <v>213_170</v>
      </c>
      <c r="O177" t="s">
        <v>31</v>
      </c>
      <c r="P177" s="9" t="s">
        <v>31</v>
      </c>
      <c r="Q177" t="s">
        <v>31</v>
      </c>
      <c r="R177" t="s">
        <v>31</v>
      </c>
      <c r="S177" t="s">
        <v>31</v>
      </c>
      <c r="T177" t="s">
        <v>31</v>
      </c>
      <c r="U177">
        <f>_xll.OneStreamExcelAddIn.XFFunctions.XFGetCell(A177,B177,C177,D177,E177,F177,G177,H177,I177,J177,K177,L177,M177,N177,O177,P177,Q177,R177,S177,T177)</f>
        <v>0</v>
      </c>
    </row>
    <row r="178" spans="1:21">
      <c r="A178" t="b">
        <v>1</v>
      </c>
      <c r="B178" t="s">
        <v>26</v>
      </c>
      <c r="C178">
        <v>213</v>
      </c>
      <c r="E178" t="s">
        <v>38</v>
      </c>
      <c r="F178" t="s">
        <v>27</v>
      </c>
      <c r="G178" t="str">
        <f>INDEX('User Inputs'!$G$3:$G$14,MATCH(1,'User Inputs'!$J$3:$J$14,0))</f>
        <v>2026M05</v>
      </c>
      <c r="H178" t="s">
        <v>29</v>
      </c>
      <c r="I178">
        <v>629999</v>
      </c>
      <c r="J178" t="s">
        <v>41</v>
      </c>
      <c r="K178" t="s">
        <v>31</v>
      </c>
      <c r="L178" t="s">
        <v>32</v>
      </c>
      <c r="M178">
        <v>170</v>
      </c>
      <c r="N178" t="str">
        <f t="shared" si="2"/>
        <v>213_170</v>
      </c>
      <c r="O178" t="s">
        <v>31</v>
      </c>
      <c r="P178">
        <v>331100</v>
      </c>
      <c r="Q178" t="s">
        <v>31</v>
      </c>
      <c r="R178" t="s">
        <v>31</v>
      </c>
      <c r="S178" t="s">
        <v>31</v>
      </c>
      <c r="T178" t="s">
        <v>31</v>
      </c>
      <c r="U178">
        <f>_xll.OneStreamExcelAddIn.XFFunctions.XFGetCell(A178,B178,C178,D178,E178,F178,G178,H178,I178,J178,K178,L178,M178,N178,O178,P178,Q178,R178,S178,T178)</f>
        <v>0</v>
      </c>
    </row>
    <row r="179" spans="1:21">
      <c r="A179" t="b">
        <v>1</v>
      </c>
      <c r="B179" t="s">
        <v>26</v>
      </c>
      <c r="C179">
        <v>111</v>
      </c>
      <c r="E179" t="s">
        <v>38</v>
      </c>
      <c r="F179" t="s">
        <v>27</v>
      </c>
      <c r="G179" t="str">
        <f>INDEX('User Inputs'!$G$3:$G$14,MATCH(1,'User Inputs'!$J$3:$J$14,0))</f>
        <v>2026M05</v>
      </c>
      <c r="H179" t="s">
        <v>29</v>
      </c>
      <c r="I179">
        <v>611000</v>
      </c>
      <c r="J179" t="s">
        <v>41</v>
      </c>
      <c r="K179" t="s">
        <v>31</v>
      </c>
      <c r="L179" t="s">
        <v>32</v>
      </c>
      <c r="M179">
        <v>172</v>
      </c>
      <c r="N179" t="str">
        <f t="shared" si="2"/>
        <v>111_172</v>
      </c>
      <c r="O179" t="s">
        <v>31</v>
      </c>
      <c r="P179">
        <v>330130</v>
      </c>
      <c r="Q179" t="s">
        <v>31</v>
      </c>
      <c r="R179" t="s">
        <v>31</v>
      </c>
      <c r="S179" t="s">
        <v>31</v>
      </c>
      <c r="T179" t="s">
        <v>31</v>
      </c>
      <c r="U179">
        <f>_xll.OneStreamExcelAddIn.XFFunctions.XFGetCell(A179,B179,C179,D179,E179,F179,G179,H179,I179,J179,K179,L179,M179,N179,O179,P179,Q179,R179,S179,T179)</f>
        <v>0</v>
      </c>
    </row>
    <row r="180" spans="1:21">
      <c r="A180" t="b">
        <v>1</v>
      </c>
      <c r="B180" t="s">
        <v>26</v>
      </c>
      <c r="C180">
        <v>111</v>
      </c>
      <c r="E180" t="s">
        <v>38</v>
      </c>
      <c r="F180" t="s">
        <v>27</v>
      </c>
      <c r="G180" t="str">
        <f>INDEX('User Inputs'!$G$3:$G$14,MATCH(1,'User Inputs'!$J$3:$J$14,0))</f>
        <v>2026M05</v>
      </c>
      <c r="H180" t="s">
        <v>29</v>
      </c>
      <c r="I180">
        <v>611000</v>
      </c>
      <c r="J180" t="s">
        <v>41</v>
      </c>
      <c r="K180" t="s">
        <v>31</v>
      </c>
      <c r="L180" t="s">
        <v>32</v>
      </c>
      <c r="M180">
        <v>172</v>
      </c>
      <c r="N180" t="str">
        <f t="shared" si="2"/>
        <v>111_172</v>
      </c>
      <c r="O180" t="s">
        <v>31</v>
      </c>
      <c r="P180">
        <v>330160</v>
      </c>
      <c r="Q180" t="s">
        <v>31</v>
      </c>
      <c r="R180" t="s">
        <v>31</v>
      </c>
      <c r="S180" t="s">
        <v>31</v>
      </c>
      <c r="T180" t="s">
        <v>31</v>
      </c>
      <c r="U180">
        <f>_xll.OneStreamExcelAddIn.XFFunctions.XFGetCell(A180,B180,C180,D180,E180,F180,G180,H180,I180,J180,K180,L180,M180,N180,O180,P180,Q180,R180,S180,T180)</f>
        <v>0</v>
      </c>
    </row>
    <row r="181" spans="1:21">
      <c r="A181" t="b">
        <v>1</v>
      </c>
      <c r="B181" t="s">
        <v>26</v>
      </c>
      <c r="C181">
        <v>111</v>
      </c>
      <c r="E181" t="s">
        <v>38</v>
      </c>
      <c r="F181" t="s">
        <v>27</v>
      </c>
      <c r="G181" t="str">
        <f>INDEX('User Inputs'!$G$3:$G$14,MATCH(1,'User Inputs'!$J$3:$J$14,0))</f>
        <v>2026M05</v>
      </c>
      <c r="H181" t="s">
        <v>29</v>
      </c>
      <c r="I181">
        <v>611000</v>
      </c>
      <c r="J181" t="s">
        <v>41</v>
      </c>
      <c r="K181" t="s">
        <v>31</v>
      </c>
      <c r="L181" t="s">
        <v>32</v>
      </c>
      <c r="M181">
        <v>172</v>
      </c>
      <c r="N181" t="str">
        <f t="shared" si="2"/>
        <v>111_172</v>
      </c>
      <c r="O181" t="s">
        <v>31</v>
      </c>
      <c r="P181">
        <v>330170</v>
      </c>
      <c r="Q181" t="s">
        <v>31</v>
      </c>
      <c r="R181" t="s">
        <v>31</v>
      </c>
      <c r="S181" t="s">
        <v>31</v>
      </c>
      <c r="T181" t="s">
        <v>31</v>
      </c>
      <c r="U181">
        <f>_xll.OneStreamExcelAddIn.XFFunctions.XFGetCell(A181,B181,C181,D181,E181,F181,G181,H181,I181,J181,K181,L181,M181,N181,O181,P181,Q181,R181,S181,T181)</f>
        <v>0</v>
      </c>
    </row>
    <row r="182" spans="1:21">
      <c r="A182" t="b">
        <v>1</v>
      </c>
      <c r="B182" t="s">
        <v>26</v>
      </c>
      <c r="C182">
        <v>111</v>
      </c>
      <c r="E182" t="s">
        <v>38</v>
      </c>
      <c r="F182" t="s">
        <v>27</v>
      </c>
      <c r="G182" t="str">
        <f>INDEX('User Inputs'!$G$3:$G$14,MATCH(1,'User Inputs'!$J$3:$J$14,0))</f>
        <v>2026M05</v>
      </c>
      <c r="H182" t="s">
        <v>29</v>
      </c>
      <c r="I182">
        <v>611000</v>
      </c>
      <c r="J182" t="s">
        <v>41</v>
      </c>
      <c r="K182" t="s">
        <v>31</v>
      </c>
      <c r="L182" t="s">
        <v>32</v>
      </c>
      <c r="M182">
        <v>172</v>
      </c>
      <c r="N182" t="str">
        <f t="shared" si="2"/>
        <v>111_172</v>
      </c>
      <c r="O182" t="s">
        <v>31</v>
      </c>
      <c r="P182">
        <v>330120</v>
      </c>
      <c r="Q182" t="s">
        <v>31</v>
      </c>
      <c r="R182" t="s">
        <v>31</v>
      </c>
      <c r="S182" t="s">
        <v>31</v>
      </c>
      <c r="T182" t="s">
        <v>31</v>
      </c>
      <c r="U182">
        <f>_xll.OneStreamExcelAddIn.XFFunctions.XFGetCell(A182,B182,C182,D182,E182,F182,G182,H182,I182,J182,K182,L182,M182,N182,O182,P182,Q182,R182,S182,T182)</f>
        <v>0</v>
      </c>
    </row>
    <row r="183" spans="1:21">
      <c r="A183" t="b">
        <v>1</v>
      </c>
      <c r="B183" t="s">
        <v>26</v>
      </c>
      <c r="C183">
        <v>111</v>
      </c>
      <c r="E183" t="s">
        <v>38</v>
      </c>
      <c r="F183" t="s">
        <v>27</v>
      </c>
      <c r="G183" t="str">
        <f>INDEX('User Inputs'!$G$3:$G$14,MATCH(1,'User Inputs'!$J$3:$J$14,0))</f>
        <v>2026M05</v>
      </c>
      <c r="H183" t="s">
        <v>29</v>
      </c>
      <c r="I183">
        <v>611000</v>
      </c>
      <c r="J183" t="s">
        <v>41</v>
      </c>
      <c r="K183" t="s">
        <v>31</v>
      </c>
      <c r="L183" t="s">
        <v>32</v>
      </c>
      <c r="M183">
        <v>172</v>
      </c>
      <c r="N183" t="str">
        <f t="shared" si="2"/>
        <v>111_172</v>
      </c>
      <c r="O183" t="s">
        <v>31</v>
      </c>
      <c r="P183">
        <v>330100</v>
      </c>
      <c r="Q183" t="s">
        <v>31</v>
      </c>
      <c r="R183" t="s">
        <v>31</v>
      </c>
      <c r="S183" t="s">
        <v>31</v>
      </c>
      <c r="T183" t="s">
        <v>31</v>
      </c>
      <c r="U183">
        <f>_xll.OneStreamExcelAddIn.XFFunctions.XFGetCell(A183,B183,C183,D183,E183,F183,G183,H183,I183,J183,K183,L183,M183,N183,O183,P183,Q183,R183,S183,T183)</f>
        <v>0</v>
      </c>
    </row>
    <row r="184" spans="1:21">
      <c r="A184" t="b">
        <v>1</v>
      </c>
      <c r="B184" t="s">
        <v>26</v>
      </c>
      <c r="C184">
        <v>111</v>
      </c>
      <c r="E184" t="s">
        <v>38</v>
      </c>
      <c r="F184" t="s">
        <v>27</v>
      </c>
      <c r="G184" t="str">
        <f>INDEX('User Inputs'!$G$3:$G$14,MATCH(1,'User Inputs'!$J$3:$J$14,0))</f>
        <v>2026M05</v>
      </c>
      <c r="H184" t="s">
        <v>29</v>
      </c>
      <c r="I184">
        <v>611000</v>
      </c>
      <c r="J184" t="s">
        <v>41</v>
      </c>
      <c r="K184" t="s">
        <v>31</v>
      </c>
      <c r="L184" t="s">
        <v>32</v>
      </c>
      <c r="M184">
        <v>172</v>
      </c>
      <c r="N184" t="str">
        <f t="shared" si="2"/>
        <v>111_172</v>
      </c>
      <c r="O184" t="s">
        <v>31</v>
      </c>
      <c r="P184">
        <v>330150</v>
      </c>
      <c r="Q184" t="s">
        <v>31</v>
      </c>
      <c r="R184" t="s">
        <v>31</v>
      </c>
      <c r="S184" t="s">
        <v>31</v>
      </c>
      <c r="T184" t="s">
        <v>31</v>
      </c>
      <c r="U184">
        <f>_xll.OneStreamExcelAddIn.XFFunctions.XFGetCell(A184,B184,C184,D184,E184,F184,G184,H184,I184,J184,K184,L184,M184,N184,O184,P184,Q184,R184,S184,T184)</f>
        <v>0</v>
      </c>
    </row>
    <row r="185" spans="1:21">
      <c r="A185" t="b">
        <v>1</v>
      </c>
      <c r="B185" t="s">
        <v>26</v>
      </c>
      <c r="C185">
        <v>111</v>
      </c>
      <c r="E185" t="s">
        <v>38</v>
      </c>
      <c r="F185" t="s">
        <v>27</v>
      </c>
      <c r="G185" t="str">
        <f>INDEX('User Inputs'!$G$3:$G$14,MATCH(1,'User Inputs'!$J$3:$J$14,0))</f>
        <v>2026M05</v>
      </c>
      <c r="H185" t="s">
        <v>29</v>
      </c>
      <c r="I185">
        <v>611000</v>
      </c>
      <c r="J185" t="s">
        <v>41</v>
      </c>
      <c r="K185" t="s">
        <v>31</v>
      </c>
      <c r="L185" t="s">
        <v>32</v>
      </c>
      <c r="M185">
        <v>172</v>
      </c>
      <c r="N185" t="str">
        <f t="shared" si="2"/>
        <v>111_172</v>
      </c>
      <c r="O185" t="s">
        <v>31</v>
      </c>
      <c r="P185">
        <v>330110</v>
      </c>
      <c r="Q185" t="s">
        <v>31</v>
      </c>
      <c r="R185" t="s">
        <v>31</v>
      </c>
      <c r="S185" t="s">
        <v>31</v>
      </c>
      <c r="T185" t="s">
        <v>31</v>
      </c>
      <c r="U185">
        <f>_xll.OneStreamExcelAddIn.XFFunctions.XFGetCell(A185,B185,C185,D185,E185,F185,G185,H185,I185,J185,K185,L185,M185,N185,O185,P185,Q185,R185,S185,T185)</f>
        <v>0</v>
      </c>
    </row>
    <row r="186" spans="1:21">
      <c r="A186" t="b">
        <v>1</v>
      </c>
      <c r="B186" t="s">
        <v>26</v>
      </c>
      <c r="C186">
        <v>111</v>
      </c>
      <c r="E186" t="s">
        <v>38</v>
      </c>
      <c r="F186" t="s">
        <v>27</v>
      </c>
      <c r="G186" t="str">
        <f>INDEX('User Inputs'!$G$3:$G$14,MATCH(1,'User Inputs'!$J$3:$J$14,0))</f>
        <v>2026M05</v>
      </c>
      <c r="H186" t="s">
        <v>29</v>
      </c>
      <c r="I186">
        <v>611000</v>
      </c>
      <c r="J186" t="s">
        <v>41</v>
      </c>
      <c r="K186" t="s">
        <v>31</v>
      </c>
      <c r="L186" t="s">
        <v>32</v>
      </c>
      <c r="M186">
        <v>172</v>
      </c>
      <c r="N186" t="str">
        <f t="shared" si="2"/>
        <v>111_172</v>
      </c>
      <c r="O186" t="s">
        <v>31</v>
      </c>
      <c r="P186">
        <v>330180</v>
      </c>
      <c r="Q186" t="s">
        <v>31</v>
      </c>
      <c r="R186" t="s">
        <v>31</v>
      </c>
      <c r="S186" t="s">
        <v>31</v>
      </c>
      <c r="T186" t="s">
        <v>31</v>
      </c>
      <c r="U186">
        <f>_xll.OneStreamExcelAddIn.XFFunctions.XFGetCell(A186,B186,C186,D186,E186,F186,G186,H186,I186,J186,K186,L186,M186,N186,O186,P186,Q186,R186,S186,T186)</f>
        <v>0</v>
      </c>
    </row>
    <row r="187" spans="1:21">
      <c r="A187" t="b">
        <v>1</v>
      </c>
      <c r="B187" t="s">
        <v>26</v>
      </c>
      <c r="C187">
        <v>111</v>
      </c>
      <c r="E187" t="s">
        <v>38</v>
      </c>
      <c r="F187" t="s">
        <v>27</v>
      </c>
      <c r="G187" t="str">
        <f>INDEX('User Inputs'!$G$3:$G$14,MATCH(1,'User Inputs'!$J$3:$J$14,0))</f>
        <v>2026M05</v>
      </c>
      <c r="H187" t="s">
        <v>29</v>
      </c>
      <c r="I187">
        <v>611000</v>
      </c>
      <c r="J187" t="s">
        <v>41</v>
      </c>
      <c r="K187" t="s">
        <v>31</v>
      </c>
      <c r="L187" t="s">
        <v>32</v>
      </c>
      <c r="M187">
        <v>172</v>
      </c>
      <c r="N187" t="str">
        <f t="shared" si="2"/>
        <v>111_172</v>
      </c>
      <c r="O187" t="s">
        <v>31</v>
      </c>
      <c r="P187">
        <v>331200</v>
      </c>
      <c r="Q187" t="s">
        <v>31</v>
      </c>
      <c r="R187" t="s">
        <v>31</v>
      </c>
      <c r="S187" t="s">
        <v>31</v>
      </c>
      <c r="T187" t="s">
        <v>31</v>
      </c>
      <c r="U187">
        <f>_xll.OneStreamExcelAddIn.XFFunctions.XFGetCell(A187,B187,C187,D187,E187,F187,G187,H187,I187,J187,K187,L187,M187,N187,O187,P187,Q187,R187,S187,T187)</f>
        <v>0</v>
      </c>
    </row>
    <row r="188" spans="1:21">
      <c r="A188" t="b">
        <v>1</v>
      </c>
      <c r="B188" t="s">
        <v>26</v>
      </c>
      <c r="C188">
        <v>111</v>
      </c>
      <c r="E188" t="s">
        <v>38</v>
      </c>
      <c r="F188" t="s">
        <v>27</v>
      </c>
      <c r="G188" t="str">
        <f>INDEX('User Inputs'!$G$3:$G$14,MATCH(1,'User Inputs'!$J$3:$J$14,0))</f>
        <v>2026M05</v>
      </c>
      <c r="H188" t="s">
        <v>29</v>
      </c>
      <c r="I188">
        <v>611010</v>
      </c>
      <c r="J188" t="s">
        <v>41</v>
      </c>
      <c r="K188" t="s">
        <v>31</v>
      </c>
      <c r="L188" t="s">
        <v>32</v>
      </c>
      <c r="M188">
        <v>172</v>
      </c>
      <c r="N188" t="str">
        <f t="shared" si="2"/>
        <v>111_172</v>
      </c>
      <c r="O188" t="s">
        <v>31</v>
      </c>
      <c r="P188">
        <v>330210</v>
      </c>
      <c r="Q188" t="s">
        <v>31</v>
      </c>
      <c r="R188" t="s">
        <v>31</v>
      </c>
      <c r="S188" t="s">
        <v>31</v>
      </c>
      <c r="T188" t="s">
        <v>31</v>
      </c>
      <c r="U188">
        <f>_xll.OneStreamExcelAddIn.XFFunctions.XFGetCell(A188,B188,C188,D188,E188,F188,G188,H188,I188,J188,K188,L188,M188,N188,O188,P188,Q188,R188,S188,T188)</f>
        <v>0</v>
      </c>
    </row>
    <row r="189" spans="1:21">
      <c r="A189" t="b">
        <v>1</v>
      </c>
      <c r="B189" t="s">
        <v>26</v>
      </c>
      <c r="C189">
        <v>111</v>
      </c>
      <c r="E189" t="s">
        <v>38</v>
      </c>
      <c r="F189" t="s">
        <v>27</v>
      </c>
      <c r="G189" t="str">
        <f>INDEX('User Inputs'!$G$3:$G$14,MATCH(1,'User Inputs'!$J$3:$J$14,0))</f>
        <v>2026M05</v>
      </c>
      <c r="H189" t="s">
        <v>29</v>
      </c>
      <c r="I189">
        <v>611010</v>
      </c>
      <c r="J189" t="s">
        <v>41</v>
      </c>
      <c r="K189" t="s">
        <v>31</v>
      </c>
      <c r="L189" t="s">
        <v>32</v>
      </c>
      <c r="M189">
        <v>172</v>
      </c>
      <c r="N189" t="str">
        <f t="shared" si="2"/>
        <v>111_172</v>
      </c>
      <c r="O189" t="s">
        <v>31</v>
      </c>
      <c r="P189">
        <v>330200</v>
      </c>
      <c r="Q189" t="s">
        <v>31</v>
      </c>
      <c r="R189" t="s">
        <v>31</v>
      </c>
      <c r="S189" t="s">
        <v>31</v>
      </c>
      <c r="T189" t="s">
        <v>31</v>
      </c>
      <c r="U189">
        <f>_xll.OneStreamExcelAddIn.XFFunctions.XFGetCell(A189,B189,C189,D189,E189,F189,G189,H189,I189,J189,K189,L189,M189,N189,O189,P189,Q189,R189,S189,T189)</f>
        <v>0</v>
      </c>
    </row>
    <row r="190" spans="1:21">
      <c r="A190" t="b">
        <v>1</v>
      </c>
      <c r="B190" t="s">
        <v>26</v>
      </c>
      <c r="C190">
        <v>111</v>
      </c>
      <c r="E190" t="s">
        <v>38</v>
      </c>
      <c r="F190" t="s">
        <v>27</v>
      </c>
      <c r="G190" t="str">
        <f>INDEX('User Inputs'!$G$3:$G$14,MATCH(1,'User Inputs'!$J$3:$J$14,0))</f>
        <v>2026M05</v>
      </c>
      <c r="H190" t="s">
        <v>29</v>
      </c>
      <c r="I190">
        <v>611010</v>
      </c>
      <c r="J190" t="s">
        <v>41</v>
      </c>
      <c r="K190" t="s">
        <v>31</v>
      </c>
      <c r="L190" t="s">
        <v>32</v>
      </c>
      <c r="M190">
        <v>172</v>
      </c>
      <c r="N190" t="str">
        <f t="shared" si="2"/>
        <v>111_172</v>
      </c>
      <c r="O190" t="s">
        <v>31</v>
      </c>
      <c r="P190">
        <v>330220</v>
      </c>
      <c r="Q190" t="s">
        <v>31</v>
      </c>
      <c r="R190" t="s">
        <v>31</v>
      </c>
      <c r="S190" t="s">
        <v>31</v>
      </c>
      <c r="T190" t="s">
        <v>31</v>
      </c>
      <c r="U190">
        <f>_xll.OneStreamExcelAddIn.XFFunctions.XFGetCell(A190,B190,C190,D190,E190,F190,G190,H190,I190,J190,K190,L190,M190,N190,O190,P190,Q190,R190,S190,T190)</f>
        <v>0</v>
      </c>
    </row>
    <row r="191" spans="1:21">
      <c r="A191" t="b">
        <v>1</v>
      </c>
      <c r="B191" t="s">
        <v>26</v>
      </c>
      <c r="C191">
        <v>111</v>
      </c>
      <c r="E191" t="s">
        <v>38</v>
      </c>
      <c r="F191" t="s">
        <v>27</v>
      </c>
      <c r="G191" t="str">
        <f>INDEX('User Inputs'!$G$3:$G$14,MATCH(1,'User Inputs'!$J$3:$J$14,0))</f>
        <v>2026M05</v>
      </c>
      <c r="H191" t="s">
        <v>29</v>
      </c>
      <c r="I191">
        <v>611010</v>
      </c>
      <c r="J191" t="s">
        <v>41</v>
      </c>
      <c r="K191" t="s">
        <v>31</v>
      </c>
      <c r="L191" t="s">
        <v>32</v>
      </c>
      <c r="M191">
        <v>172</v>
      </c>
      <c r="N191" t="str">
        <f t="shared" si="2"/>
        <v>111_172</v>
      </c>
      <c r="O191" t="s">
        <v>31</v>
      </c>
      <c r="P191">
        <v>330250</v>
      </c>
      <c r="Q191" t="s">
        <v>31</v>
      </c>
      <c r="R191" t="s">
        <v>31</v>
      </c>
      <c r="S191" t="s">
        <v>31</v>
      </c>
      <c r="T191" t="s">
        <v>31</v>
      </c>
      <c r="U191">
        <f>_xll.OneStreamExcelAddIn.XFFunctions.XFGetCell(A191,B191,C191,D191,E191,F191,G191,H191,I191,J191,K191,L191,M191,N191,O191,P191,Q191,R191,S191,T191)</f>
        <v>0</v>
      </c>
    </row>
    <row r="192" spans="1:21">
      <c r="A192" t="b">
        <v>1</v>
      </c>
      <c r="B192" t="s">
        <v>26</v>
      </c>
      <c r="C192">
        <v>111</v>
      </c>
      <c r="E192" t="s">
        <v>38</v>
      </c>
      <c r="F192" t="s">
        <v>27</v>
      </c>
      <c r="G192" t="str">
        <f>INDEX('User Inputs'!$G$3:$G$14,MATCH(1,'User Inputs'!$J$3:$J$14,0))</f>
        <v>2026M05</v>
      </c>
      <c r="H192" t="s">
        <v>29</v>
      </c>
      <c r="I192">
        <v>611010</v>
      </c>
      <c r="J192" t="s">
        <v>41</v>
      </c>
      <c r="K192" t="s">
        <v>31</v>
      </c>
      <c r="L192" t="s">
        <v>32</v>
      </c>
      <c r="M192">
        <v>172</v>
      </c>
      <c r="N192" t="str">
        <f t="shared" si="2"/>
        <v>111_172</v>
      </c>
      <c r="O192" t="s">
        <v>31</v>
      </c>
      <c r="P192">
        <v>330230</v>
      </c>
      <c r="Q192" t="s">
        <v>31</v>
      </c>
      <c r="R192" t="s">
        <v>31</v>
      </c>
      <c r="S192" t="s">
        <v>31</v>
      </c>
      <c r="T192" t="s">
        <v>31</v>
      </c>
      <c r="U192">
        <f>_xll.OneStreamExcelAddIn.XFFunctions.XFGetCell(A192,B192,C192,D192,E192,F192,G192,H192,I192,J192,K192,L192,M192,N192,O192,P192,Q192,R192,S192,T192)</f>
        <v>0</v>
      </c>
    </row>
    <row r="193" spans="1:21">
      <c r="A193" t="b">
        <v>1</v>
      </c>
      <c r="B193" t="s">
        <v>26</v>
      </c>
      <c r="C193">
        <v>111</v>
      </c>
      <c r="E193" t="s">
        <v>38</v>
      </c>
      <c r="F193" t="s">
        <v>27</v>
      </c>
      <c r="G193" t="str">
        <f>INDEX('User Inputs'!$G$3:$G$14,MATCH(1,'User Inputs'!$J$3:$J$14,0))</f>
        <v>2026M05</v>
      </c>
      <c r="H193" t="s">
        <v>29</v>
      </c>
      <c r="I193">
        <v>611010</v>
      </c>
      <c r="J193" t="s">
        <v>41</v>
      </c>
      <c r="K193" t="s">
        <v>31</v>
      </c>
      <c r="L193" t="s">
        <v>32</v>
      </c>
      <c r="M193">
        <v>172</v>
      </c>
      <c r="N193" t="str">
        <f t="shared" si="2"/>
        <v>111_172</v>
      </c>
      <c r="O193" t="s">
        <v>31</v>
      </c>
      <c r="P193">
        <v>330260</v>
      </c>
      <c r="Q193" t="s">
        <v>31</v>
      </c>
      <c r="R193" t="s">
        <v>31</v>
      </c>
      <c r="S193" t="s">
        <v>31</v>
      </c>
      <c r="T193" t="s">
        <v>31</v>
      </c>
      <c r="U193">
        <f>_xll.OneStreamExcelAddIn.XFFunctions.XFGetCell(A193,B193,C193,D193,E193,F193,G193,H193,I193,J193,K193,L193,M193,N193,O193,P193,Q193,R193,S193,T193)</f>
        <v>0</v>
      </c>
    </row>
    <row r="194" spans="1:21">
      <c r="A194" t="b">
        <v>1</v>
      </c>
      <c r="B194" t="s">
        <v>26</v>
      </c>
      <c r="C194">
        <v>111</v>
      </c>
      <c r="E194" t="s">
        <v>38</v>
      </c>
      <c r="F194" t="s">
        <v>27</v>
      </c>
      <c r="G194" t="str">
        <f>INDEX('User Inputs'!$G$3:$G$14,MATCH(1,'User Inputs'!$J$3:$J$14,0))</f>
        <v>2026M05</v>
      </c>
      <c r="H194" t="s">
        <v>29</v>
      </c>
      <c r="I194">
        <v>611010</v>
      </c>
      <c r="J194" t="s">
        <v>41</v>
      </c>
      <c r="K194" t="s">
        <v>31</v>
      </c>
      <c r="L194" t="s">
        <v>32</v>
      </c>
      <c r="M194">
        <v>172</v>
      </c>
      <c r="N194" t="str">
        <f t="shared" si="2"/>
        <v>111_172</v>
      </c>
      <c r="O194" t="s">
        <v>31</v>
      </c>
      <c r="P194">
        <v>330240</v>
      </c>
      <c r="Q194" t="s">
        <v>31</v>
      </c>
      <c r="R194" t="s">
        <v>31</v>
      </c>
      <c r="S194" t="s">
        <v>31</v>
      </c>
      <c r="T194" t="s">
        <v>31</v>
      </c>
      <c r="U194">
        <f>_xll.OneStreamExcelAddIn.XFFunctions.XFGetCell(A194,B194,C194,D194,E194,F194,G194,H194,I194,J194,K194,L194,M194,N194,O194,P194,Q194,R194,S194,T194)</f>
        <v>0</v>
      </c>
    </row>
    <row r="195" spans="1:21">
      <c r="A195" t="b">
        <v>1</v>
      </c>
      <c r="B195" t="s">
        <v>26</v>
      </c>
      <c r="C195">
        <v>111</v>
      </c>
      <c r="E195" t="s">
        <v>38</v>
      </c>
      <c r="F195" t="s">
        <v>27</v>
      </c>
      <c r="G195" t="str">
        <f>INDEX('User Inputs'!$G$3:$G$14,MATCH(1,'User Inputs'!$J$3:$J$14,0))</f>
        <v>2026M05</v>
      </c>
      <c r="H195" t="s">
        <v>29</v>
      </c>
      <c r="I195">
        <v>611020</v>
      </c>
      <c r="J195" t="s">
        <v>41</v>
      </c>
      <c r="K195" t="s">
        <v>31</v>
      </c>
      <c r="L195" t="s">
        <v>32</v>
      </c>
      <c r="M195">
        <v>172</v>
      </c>
      <c r="N195" t="str">
        <f t="shared" ref="N195:N237" si="3">_xlfn.CONCAT(C195,"_",M195)</f>
        <v>111_172</v>
      </c>
      <c r="O195" t="s">
        <v>31</v>
      </c>
      <c r="P195">
        <v>330330</v>
      </c>
      <c r="Q195" t="s">
        <v>31</v>
      </c>
      <c r="R195" t="s">
        <v>31</v>
      </c>
      <c r="S195" t="s">
        <v>31</v>
      </c>
      <c r="T195" t="s">
        <v>31</v>
      </c>
      <c r="U195">
        <f>_xll.OneStreamExcelAddIn.XFFunctions.XFGetCell(A195,B195,C195,D195,E195,F195,G195,H195,I195,J195,K195,L195,M195,N195,O195,P195,Q195,R195,S195,T195)</f>
        <v>0</v>
      </c>
    </row>
    <row r="196" spans="1:21">
      <c r="A196" t="b">
        <v>1</v>
      </c>
      <c r="B196" t="s">
        <v>26</v>
      </c>
      <c r="C196">
        <v>111</v>
      </c>
      <c r="E196" t="s">
        <v>38</v>
      </c>
      <c r="F196" t="s">
        <v>27</v>
      </c>
      <c r="G196" t="str">
        <f>INDEX('User Inputs'!$G$3:$G$14,MATCH(1,'User Inputs'!$J$3:$J$14,0))</f>
        <v>2026M05</v>
      </c>
      <c r="H196" t="s">
        <v>29</v>
      </c>
      <c r="I196">
        <v>611020</v>
      </c>
      <c r="J196" t="s">
        <v>41</v>
      </c>
      <c r="K196" t="s">
        <v>31</v>
      </c>
      <c r="L196" t="s">
        <v>32</v>
      </c>
      <c r="M196">
        <v>172</v>
      </c>
      <c r="N196" t="str">
        <f t="shared" si="3"/>
        <v>111_172</v>
      </c>
      <c r="O196" t="s">
        <v>31</v>
      </c>
      <c r="P196">
        <v>330300</v>
      </c>
      <c r="Q196" t="s">
        <v>31</v>
      </c>
      <c r="R196" t="s">
        <v>31</v>
      </c>
      <c r="S196" t="s">
        <v>31</v>
      </c>
      <c r="T196" t="s">
        <v>31</v>
      </c>
      <c r="U196">
        <f>_xll.OneStreamExcelAddIn.XFFunctions.XFGetCell(A196,B196,C196,D196,E196,F196,G196,H196,I196,J196,K196,L196,M196,N196,O196,P196,Q196,R196,S196,T196)</f>
        <v>0</v>
      </c>
    </row>
    <row r="197" spans="1:21">
      <c r="A197" t="b">
        <v>1</v>
      </c>
      <c r="B197" t="s">
        <v>26</v>
      </c>
      <c r="C197">
        <v>111</v>
      </c>
      <c r="E197" t="s">
        <v>38</v>
      </c>
      <c r="F197" t="s">
        <v>27</v>
      </c>
      <c r="G197" t="str">
        <f>INDEX('User Inputs'!$G$3:$G$14,MATCH(1,'User Inputs'!$J$3:$J$14,0))</f>
        <v>2026M05</v>
      </c>
      <c r="H197" t="s">
        <v>29</v>
      </c>
      <c r="I197">
        <v>611020</v>
      </c>
      <c r="J197" t="s">
        <v>41</v>
      </c>
      <c r="K197" t="s">
        <v>31</v>
      </c>
      <c r="L197" t="s">
        <v>32</v>
      </c>
      <c r="M197">
        <v>172</v>
      </c>
      <c r="N197" t="str">
        <f t="shared" si="3"/>
        <v>111_172</v>
      </c>
      <c r="O197" t="s">
        <v>31</v>
      </c>
      <c r="P197">
        <v>330340</v>
      </c>
      <c r="Q197" t="s">
        <v>31</v>
      </c>
      <c r="R197" t="s">
        <v>31</v>
      </c>
      <c r="S197" t="s">
        <v>31</v>
      </c>
      <c r="T197" t="s">
        <v>31</v>
      </c>
      <c r="U197">
        <f>_xll.OneStreamExcelAddIn.XFFunctions.XFGetCell(A197,B197,C197,D197,E197,F197,G197,H197,I197,J197,K197,L197,M197,N197,O197,P197,Q197,R197,S197,T197)</f>
        <v>0</v>
      </c>
    </row>
    <row r="198" spans="1:21">
      <c r="A198" t="b">
        <v>1</v>
      </c>
      <c r="B198" t="s">
        <v>26</v>
      </c>
      <c r="C198">
        <v>111</v>
      </c>
      <c r="E198" t="s">
        <v>38</v>
      </c>
      <c r="F198" t="s">
        <v>27</v>
      </c>
      <c r="G198" t="str">
        <f>INDEX('User Inputs'!$G$3:$G$14,MATCH(1,'User Inputs'!$J$3:$J$14,0))</f>
        <v>2026M05</v>
      </c>
      <c r="H198" t="s">
        <v>29</v>
      </c>
      <c r="I198">
        <v>611020</v>
      </c>
      <c r="J198" t="s">
        <v>41</v>
      </c>
      <c r="K198" t="s">
        <v>31</v>
      </c>
      <c r="L198" t="s">
        <v>32</v>
      </c>
      <c r="M198">
        <v>172</v>
      </c>
      <c r="N198" t="str">
        <f t="shared" si="3"/>
        <v>111_172</v>
      </c>
      <c r="O198" t="s">
        <v>31</v>
      </c>
      <c r="P198">
        <v>330350</v>
      </c>
      <c r="Q198" t="s">
        <v>31</v>
      </c>
      <c r="R198" t="s">
        <v>31</v>
      </c>
      <c r="S198" t="s">
        <v>31</v>
      </c>
      <c r="T198" t="s">
        <v>31</v>
      </c>
      <c r="U198">
        <f>_xll.OneStreamExcelAddIn.XFFunctions.XFGetCell(A198,B198,C198,D198,E198,F198,G198,H198,I198,J198,K198,L198,M198,N198,O198,P198,Q198,R198,S198,T198)</f>
        <v>0</v>
      </c>
    </row>
    <row r="199" spans="1:21">
      <c r="A199" t="b">
        <v>1</v>
      </c>
      <c r="B199" t="s">
        <v>26</v>
      </c>
      <c r="C199">
        <v>111</v>
      </c>
      <c r="E199" t="s">
        <v>38</v>
      </c>
      <c r="F199" t="s">
        <v>27</v>
      </c>
      <c r="G199" t="str">
        <f>INDEX('User Inputs'!$G$3:$G$14,MATCH(1,'User Inputs'!$J$3:$J$14,0))</f>
        <v>2026M05</v>
      </c>
      <c r="H199" t="s">
        <v>29</v>
      </c>
      <c r="I199">
        <v>611020</v>
      </c>
      <c r="J199" t="s">
        <v>41</v>
      </c>
      <c r="K199" t="s">
        <v>31</v>
      </c>
      <c r="L199" t="s">
        <v>32</v>
      </c>
      <c r="M199">
        <v>172</v>
      </c>
      <c r="N199" t="str">
        <f t="shared" si="3"/>
        <v>111_172</v>
      </c>
      <c r="O199" t="s">
        <v>31</v>
      </c>
      <c r="P199">
        <v>330320</v>
      </c>
      <c r="Q199" t="s">
        <v>31</v>
      </c>
      <c r="R199" t="s">
        <v>31</v>
      </c>
      <c r="S199" t="s">
        <v>31</v>
      </c>
      <c r="T199" t="s">
        <v>31</v>
      </c>
      <c r="U199">
        <f>_xll.OneStreamExcelAddIn.XFFunctions.XFGetCell(A199,B199,C199,D199,E199,F199,G199,H199,I199,J199,K199,L199,M199,N199,O199,P199,Q199,R199,S199,T199)</f>
        <v>0</v>
      </c>
    </row>
    <row r="200" spans="1:21">
      <c r="A200" t="b">
        <v>1</v>
      </c>
      <c r="B200" t="s">
        <v>26</v>
      </c>
      <c r="C200">
        <v>111</v>
      </c>
      <c r="E200" t="s">
        <v>38</v>
      </c>
      <c r="F200" t="s">
        <v>27</v>
      </c>
      <c r="G200" t="str">
        <f>INDEX('User Inputs'!$G$3:$G$14,MATCH(1,'User Inputs'!$J$3:$J$14,0))</f>
        <v>2026M05</v>
      </c>
      <c r="H200" t="s">
        <v>29</v>
      </c>
      <c r="I200">
        <v>611020</v>
      </c>
      <c r="J200" t="s">
        <v>41</v>
      </c>
      <c r="K200" t="s">
        <v>31</v>
      </c>
      <c r="L200" t="s">
        <v>32</v>
      </c>
      <c r="M200">
        <v>172</v>
      </c>
      <c r="N200" t="str">
        <f t="shared" si="3"/>
        <v>111_172</v>
      </c>
      <c r="O200" t="s">
        <v>31</v>
      </c>
      <c r="P200">
        <v>330360</v>
      </c>
      <c r="Q200" t="s">
        <v>31</v>
      </c>
      <c r="R200" t="s">
        <v>31</v>
      </c>
      <c r="S200" t="s">
        <v>31</v>
      </c>
      <c r="T200" t="s">
        <v>31</v>
      </c>
      <c r="U200">
        <f>_xll.OneStreamExcelAddIn.XFFunctions.XFGetCell(A200,B200,C200,D200,E200,F200,G200,H200,I200,J200,K200,L200,M200,N200,O200,P200,Q200,R200,S200,T200)</f>
        <v>0</v>
      </c>
    </row>
    <row r="201" spans="1:21">
      <c r="A201" t="b">
        <v>1</v>
      </c>
      <c r="B201" t="s">
        <v>26</v>
      </c>
      <c r="C201">
        <v>111</v>
      </c>
      <c r="E201" t="s">
        <v>38</v>
      </c>
      <c r="F201" t="s">
        <v>27</v>
      </c>
      <c r="G201" t="str">
        <f>INDEX('User Inputs'!$G$3:$G$14,MATCH(1,'User Inputs'!$J$3:$J$14,0))</f>
        <v>2026M05</v>
      </c>
      <c r="H201" t="s">
        <v>29</v>
      </c>
      <c r="I201">
        <v>611020</v>
      </c>
      <c r="J201" t="s">
        <v>41</v>
      </c>
      <c r="K201" t="s">
        <v>31</v>
      </c>
      <c r="L201" t="s">
        <v>32</v>
      </c>
      <c r="M201">
        <v>172</v>
      </c>
      <c r="N201" t="str">
        <f t="shared" si="3"/>
        <v>111_172</v>
      </c>
      <c r="O201" t="s">
        <v>31</v>
      </c>
      <c r="P201">
        <v>330370</v>
      </c>
      <c r="Q201" t="s">
        <v>31</v>
      </c>
      <c r="R201" t="s">
        <v>31</v>
      </c>
      <c r="S201" t="s">
        <v>31</v>
      </c>
      <c r="T201" t="s">
        <v>31</v>
      </c>
      <c r="U201">
        <f>_xll.OneStreamExcelAddIn.XFFunctions.XFGetCell(A201,B201,C201,D201,E201,F201,G201,H201,I201,J201,K201,L201,M201,N201,O201,P201,Q201,R201,S201,T201)</f>
        <v>0</v>
      </c>
    </row>
    <row r="202" spans="1:21">
      <c r="A202" t="b">
        <v>1</v>
      </c>
      <c r="B202" t="s">
        <v>26</v>
      </c>
      <c r="C202">
        <v>111</v>
      </c>
      <c r="E202" t="s">
        <v>38</v>
      </c>
      <c r="F202" t="s">
        <v>27</v>
      </c>
      <c r="G202" t="str">
        <f>INDEX('User Inputs'!$G$3:$G$14,MATCH(1,'User Inputs'!$J$3:$J$14,0))</f>
        <v>2026M05</v>
      </c>
      <c r="H202" t="s">
        <v>29</v>
      </c>
      <c r="I202">
        <v>611020</v>
      </c>
      <c r="J202" t="s">
        <v>41</v>
      </c>
      <c r="K202" t="s">
        <v>31</v>
      </c>
      <c r="L202" t="s">
        <v>32</v>
      </c>
      <c r="M202">
        <v>172</v>
      </c>
      <c r="N202" t="str">
        <f t="shared" si="3"/>
        <v>111_172</v>
      </c>
      <c r="O202" t="s">
        <v>31</v>
      </c>
      <c r="P202">
        <v>330310</v>
      </c>
      <c r="Q202" t="s">
        <v>31</v>
      </c>
      <c r="R202" t="s">
        <v>31</v>
      </c>
      <c r="S202" t="s">
        <v>31</v>
      </c>
      <c r="T202" t="s">
        <v>31</v>
      </c>
      <c r="U202">
        <f>_xll.OneStreamExcelAddIn.XFFunctions.XFGetCell(A202,B202,C202,D202,E202,F202,G202,H202,I202,J202,K202,L202,M202,N202,O202,P202,Q202,R202,S202,T202)</f>
        <v>0</v>
      </c>
    </row>
    <row r="203" spans="1:21">
      <c r="A203" t="b">
        <v>1</v>
      </c>
      <c r="B203" t="s">
        <v>26</v>
      </c>
      <c r="C203">
        <v>111</v>
      </c>
      <c r="E203" t="s">
        <v>38</v>
      </c>
      <c r="F203" t="s">
        <v>27</v>
      </c>
      <c r="G203" t="str">
        <f>INDEX('User Inputs'!$G$3:$G$14,MATCH(1,'User Inputs'!$J$3:$J$14,0))</f>
        <v>2026M05</v>
      </c>
      <c r="H203" t="s">
        <v>29</v>
      </c>
      <c r="I203">
        <v>611020</v>
      </c>
      <c r="J203" t="s">
        <v>41</v>
      </c>
      <c r="K203" t="s">
        <v>31</v>
      </c>
      <c r="L203" t="s">
        <v>32</v>
      </c>
      <c r="M203">
        <v>172</v>
      </c>
      <c r="N203" t="str">
        <f t="shared" si="3"/>
        <v>111_172</v>
      </c>
      <c r="O203" t="s">
        <v>31</v>
      </c>
      <c r="P203">
        <v>330380</v>
      </c>
      <c r="Q203" t="s">
        <v>31</v>
      </c>
      <c r="R203" t="s">
        <v>31</v>
      </c>
      <c r="S203" t="s">
        <v>31</v>
      </c>
      <c r="T203" t="s">
        <v>31</v>
      </c>
      <c r="U203">
        <f>_xll.OneStreamExcelAddIn.XFFunctions.XFGetCell(A203,B203,C203,D203,E203,F203,G203,H203,I203,J203,K203,L203,M203,N203,O203,P203,Q203,R203,S203,T203)</f>
        <v>0</v>
      </c>
    </row>
    <row r="204" spans="1:21">
      <c r="A204" t="b">
        <v>1</v>
      </c>
      <c r="B204" t="s">
        <v>26</v>
      </c>
      <c r="C204">
        <v>111</v>
      </c>
      <c r="E204" t="s">
        <v>38</v>
      </c>
      <c r="F204" t="s">
        <v>27</v>
      </c>
      <c r="G204" t="str">
        <f>INDEX('User Inputs'!$G$3:$G$14,MATCH(1,'User Inputs'!$J$3:$J$14,0))</f>
        <v>2026M05</v>
      </c>
      <c r="H204" t="s">
        <v>29</v>
      </c>
      <c r="I204">
        <v>611030</v>
      </c>
      <c r="J204" t="s">
        <v>41</v>
      </c>
      <c r="K204" t="s">
        <v>31</v>
      </c>
      <c r="L204" t="s">
        <v>32</v>
      </c>
      <c r="M204">
        <v>172</v>
      </c>
      <c r="N204" t="str">
        <f t="shared" si="3"/>
        <v>111_172</v>
      </c>
      <c r="O204" t="s">
        <v>31</v>
      </c>
      <c r="P204">
        <v>330420</v>
      </c>
      <c r="Q204" t="s">
        <v>31</v>
      </c>
      <c r="R204" t="s">
        <v>31</v>
      </c>
      <c r="S204" t="s">
        <v>31</v>
      </c>
      <c r="T204" t="s">
        <v>31</v>
      </c>
      <c r="U204">
        <f>_xll.OneStreamExcelAddIn.XFFunctions.XFGetCell(A204,B204,C204,D204,E204,F204,G204,H204,I204,J204,K204,L204,M204,N204,O204,P204,Q204,R204,S204,T204)</f>
        <v>0</v>
      </c>
    </row>
    <row r="205" spans="1:21">
      <c r="A205" t="b">
        <v>1</v>
      </c>
      <c r="B205" t="s">
        <v>26</v>
      </c>
      <c r="C205">
        <v>111</v>
      </c>
      <c r="E205" t="s">
        <v>38</v>
      </c>
      <c r="F205" t="s">
        <v>27</v>
      </c>
      <c r="G205" t="str">
        <f>INDEX('User Inputs'!$G$3:$G$14,MATCH(1,'User Inputs'!$J$3:$J$14,0))</f>
        <v>2026M05</v>
      </c>
      <c r="H205" t="s">
        <v>29</v>
      </c>
      <c r="I205">
        <v>611030</v>
      </c>
      <c r="J205" t="s">
        <v>41</v>
      </c>
      <c r="K205" t="s">
        <v>31</v>
      </c>
      <c r="L205" t="s">
        <v>32</v>
      </c>
      <c r="M205">
        <v>172</v>
      </c>
      <c r="N205" t="str">
        <f t="shared" si="3"/>
        <v>111_172</v>
      </c>
      <c r="O205" t="s">
        <v>31</v>
      </c>
      <c r="P205">
        <v>330430</v>
      </c>
      <c r="Q205" t="s">
        <v>31</v>
      </c>
      <c r="R205" t="s">
        <v>31</v>
      </c>
      <c r="S205" t="s">
        <v>31</v>
      </c>
      <c r="T205" t="s">
        <v>31</v>
      </c>
      <c r="U205">
        <f>_xll.OneStreamExcelAddIn.XFFunctions.XFGetCell(A205,B205,C205,D205,E205,F205,G205,H205,I205,J205,K205,L205,M205,N205,O205,P205,Q205,R205,S205,T205)</f>
        <v>0</v>
      </c>
    </row>
    <row r="206" spans="1:21">
      <c r="A206" t="b">
        <v>1</v>
      </c>
      <c r="B206" t="s">
        <v>26</v>
      </c>
      <c r="C206">
        <v>111</v>
      </c>
      <c r="E206" t="s">
        <v>38</v>
      </c>
      <c r="F206" t="s">
        <v>27</v>
      </c>
      <c r="G206" t="str">
        <f>INDEX('User Inputs'!$G$3:$G$14,MATCH(1,'User Inputs'!$J$3:$J$14,0))</f>
        <v>2026M05</v>
      </c>
      <c r="H206" t="s">
        <v>29</v>
      </c>
      <c r="I206">
        <v>611030</v>
      </c>
      <c r="J206" t="s">
        <v>41</v>
      </c>
      <c r="K206" t="s">
        <v>31</v>
      </c>
      <c r="L206" t="s">
        <v>32</v>
      </c>
      <c r="M206">
        <v>172</v>
      </c>
      <c r="N206" t="str">
        <f t="shared" si="3"/>
        <v>111_172</v>
      </c>
      <c r="O206" t="s">
        <v>31</v>
      </c>
      <c r="P206">
        <v>330435</v>
      </c>
      <c r="Q206" t="s">
        <v>31</v>
      </c>
      <c r="R206" t="s">
        <v>31</v>
      </c>
      <c r="S206" t="s">
        <v>31</v>
      </c>
      <c r="T206" t="s">
        <v>31</v>
      </c>
      <c r="U206">
        <f>_xll.OneStreamExcelAddIn.XFFunctions.XFGetCell(A206,B206,C206,D206,E206,F206,G206,H206,I206,J206,K206,L206,M206,N206,O206,P206,Q206,R206,S206,T206)</f>
        <v>0</v>
      </c>
    </row>
    <row r="207" spans="1:21">
      <c r="A207" t="b">
        <v>1</v>
      </c>
      <c r="B207" t="s">
        <v>26</v>
      </c>
      <c r="C207">
        <v>111</v>
      </c>
      <c r="E207" t="s">
        <v>38</v>
      </c>
      <c r="F207" t="s">
        <v>27</v>
      </c>
      <c r="G207" t="str">
        <f>INDEX('User Inputs'!$G$3:$G$14,MATCH(1,'User Inputs'!$J$3:$J$14,0))</f>
        <v>2026M05</v>
      </c>
      <c r="H207" t="s">
        <v>29</v>
      </c>
      <c r="I207">
        <v>611030</v>
      </c>
      <c r="J207" t="s">
        <v>41</v>
      </c>
      <c r="K207" t="s">
        <v>31</v>
      </c>
      <c r="L207" t="s">
        <v>32</v>
      </c>
      <c r="M207">
        <v>172</v>
      </c>
      <c r="N207" t="str">
        <f t="shared" si="3"/>
        <v>111_172</v>
      </c>
      <c r="O207" t="s">
        <v>31</v>
      </c>
      <c r="P207">
        <v>330440</v>
      </c>
      <c r="Q207" t="s">
        <v>31</v>
      </c>
      <c r="R207" t="s">
        <v>31</v>
      </c>
      <c r="S207" t="s">
        <v>31</v>
      </c>
      <c r="T207" t="s">
        <v>31</v>
      </c>
      <c r="U207">
        <f>_xll.OneStreamExcelAddIn.XFFunctions.XFGetCell(A207,B207,C207,D207,E207,F207,G207,H207,I207,J207,K207,L207,M207,N207,O207,P207,Q207,R207,S207,T207)</f>
        <v>0</v>
      </c>
    </row>
    <row r="208" spans="1:21">
      <c r="A208" t="b">
        <v>1</v>
      </c>
      <c r="B208" t="s">
        <v>26</v>
      </c>
      <c r="C208">
        <v>111</v>
      </c>
      <c r="E208" t="s">
        <v>38</v>
      </c>
      <c r="F208" t="s">
        <v>27</v>
      </c>
      <c r="G208" t="str">
        <f>INDEX('User Inputs'!$G$3:$G$14,MATCH(1,'User Inputs'!$J$3:$J$14,0))</f>
        <v>2026M05</v>
      </c>
      <c r="H208" t="s">
        <v>29</v>
      </c>
      <c r="I208">
        <v>611030</v>
      </c>
      <c r="J208" t="s">
        <v>41</v>
      </c>
      <c r="K208" t="s">
        <v>31</v>
      </c>
      <c r="L208" t="s">
        <v>32</v>
      </c>
      <c r="M208">
        <v>172</v>
      </c>
      <c r="N208" t="str">
        <f t="shared" si="3"/>
        <v>111_172</v>
      </c>
      <c r="O208" t="s">
        <v>31</v>
      </c>
      <c r="P208">
        <v>330445</v>
      </c>
      <c r="Q208" t="s">
        <v>31</v>
      </c>
      <c r="R208" t="s">
        <v>31</v>
      </c>
      <c r="S208" t="s">
        <v>31</v>
      </c>
      <c r="T208" t="s">
        <v>31</v>
      </c>
      <c r="U208">
        <f>_xll.OneStreamExcelAddIn.XFFunctions.XFGetCell(A208,B208,C208,D208,E208,F208,G208,H208,I208,J208,K208,L208,M208,N208,O208,P208,Q208,R208,S208,T208)</f>
        <v>0</v>
      </c>
    </row>
    <row r="209" spans="1:21">
      <c r="A209" t="b">
        <v>1</v>
      </c>
      <c r="B209" t="s">
        <v>26</v>
      </c>
      <c r="C209">
        <v>111</v>
      </c>
      <c r="E209" t="s">
        <v>38</v>
      </c>
      <c r="F209" t="s">
        <v>27</v>
      </c>
      <c r="G209" t="str">
        <f>INDEX('User Inputs'!$G$3:$G$14,MATCH(1,'User Inputs'!$J$3:$J$14,0))</f>
        <v>2026M05</v>
      </c>
      <c r="H209" t="s">
        <v>29</v>
      </c>
      <c r="I209">
        <v>611030</v>
      </c>
      <c r="J209" t="s">
        <v>41</v>
      </c>
      <c r="K209" t="s">
        <v>31</v>
      </c>
      <c r="L209" t="s">
        <v>32</v>
      </c>
      <c r="M209">
        <v>172</v>
      </c>
      <c r="N209" t="str">
        <f t="shared" si="3"/>
        <v>111_172</v>
      </c>
      <c r="O209" t="s">
        <v>31</v>
      </c>
      <c r="P209">
        <v>330410</v>
      </c>
      <c r="Q209" t="s">
        <v>31</v>
      </c>
      <c r="R209" t="s">
        <v>31</v>
      </c>
      <c r="S209" t="s">
        <v>31</v>
      </c>
      <c r="T209" t="s">
        <v>31</v>
      </c>
      <c r="U209">
        <f>_xll.OneStreamExcelAddIn.XFFunctions.XFGetCell(A209,B209,C209,D209,E209,F209,G209,H209,I209,J209,K209,L209,M209,N209,O209,P209,Q209,R209,S209,T209)</f>
        <v>0</v>
      </c>
    </row>
    <row r="210" spans="1:21">
      <c r="A210" t="b">
        <v>1</v>
      </c>
      <c r="B210" t="s">
        <v>26</v>
      </c>
      <c r="C210">
        <v>111</v>
      </c>
      <c r="E210" t="s">
        <v>38</v>
      </c>
      <c r="F210" t="s">
        <v>27</v>
      </c>
      <c r="G210" t="str">
        <f>INDEX('User Inputs'!$G$3:$G$14,MATCH(1,'User Inputs'!$J$3:$J$14,0))</f>
        <v>2026M05</v>
      </c>
      <c r="H210" t="s">
        <v>29</v>
      </c>
      <c r="I210">
        <v>611040</v>
      </c>
      <c r="J210" t="s">
        <v>41</v>
      </c>
      <c r="K210" t="s">
        <v>31</v>
      </c>
      <c r="L210" t="s">
        <v>32</v>
      </c>
      <c r="M210">
        <v>172</v>
      </c>
      <c r="N210" t="str">
        <f t="shared" si="3"/>
        <v>111_172</v>
      </c>
      <c r="O210" t="s">
        <v>31</v>
      </c>
      <c r="P210">
        <v>330450</v>
      </c>
      <c r="Q210" t="s">
        <v>31</v>
      </c>
      <c r="R210" t="s">
        <v>31</v>
      </c>
      <c r="S210" t="s">
        <v>31</v>
      </c>
      <c r="T210" t="s">
        <v>31</v>
      </c>
      <c r="U210">
        <f>_xll.OneStreamExcelAddIn.XFFunctions.XFGetCell(A210,B210,C210,D210,E210,F210,G210,H210,I210,J210,K210,L210,M210,N210,O210,P210,Q210,R210,S210,T210)</f>
        <v>0</v>
      </c>
    </row>
    <row r="211" spans="1:21">
      <c r="A211" t="b">
        <v>1</v>
      </c>
      <c r="B211" t="s">
        <v>26</v>
      </c>
      <c r="C211">
        <v>111</v>
      </c>
      <c r="E211" t="s">
        <v>38</v>
      </c>
      <c r="F211" t="s">
        <v>27</v>
      </c>
      <c r="G211" t="str">
        <f>INDEX('User Inputs'!$G$3:$G$14,MATCH(1,'User Inputs'!$J$3:$J$14,0))</f>
        <v>2026M05</v>
      </c>
      <c r="H211" t="s">
        <v>29</v>
      </c>
      <c r="I211">
        <v>611588</v>
      </c>
      <c r="J211" t="s">
        <v>41</v>
      </c>
      <c r="K211" t="s">
        <v>31</v>
      </c>
      <c r="L211" t="s">
        <v>32</v>
      </c>
      <c r="M211">
        <v>172</v>
      </c>
      <c r="N211" t="str">
        <f t="shared" si="3"/>
        <v>111_172</v>
      </c>
      <c r="O211" t="s">
        <v>31</v>
      </c>
      <c r="P211">
        <v>330915</v>
      </c>
      <c r="Q211" t="s">
        <v>31</v>
      </c>
      <c r="R211" t="s">
        <v>31</v>
      </c>
      <c r="S211" t="s">
        <v>31</v>
      </c>
      <c r="T211" t="s">
        <v>31</v>
      </c>
      <c r="U211">
        <f>_xll.OneStreamExcelAddIn.XFFunctions.XFGetCell(A211,B211,C211,D211,E211,F211,G211,H211,I211,J211,K211,L211,M211,N211,O211,P211,Q211,R211,S211,T211)</f>
        <v>0</v>
      </c>
    </row>
    <row r="212" spans="1:21">
      <c r="A212" t="b">
        <v>1</v>
      </c>
      <c r="B212" t="s">
        <v>26</v>
      </c>
      <c r="C212">
        <v>111</v>
      </c>
      <c r="E212" t="s">
        <v>38</v>
      </c>
      <c r="F212" t="s">
        <v>27</v>
      </c>
      <c r="G212" t="str">
        <f>INDEX('User Inputs'!$G$3:$G$14,MATCH(1,'User Inputs'!$J$3:$J$14,0))</f>
        <v>2026M05</v>
      </c>
      <c r="H212" t="s">
        <v>29</v>
      </c>
      <c r="I212">
        <v>614100</v>
      </c>
      <c r="J212" t="s">
        <v>41</v>
      </c>
      <c r="K212" t="s">
        <v>31</v>
      </c>
      <c r="L212" t="s">
        <v>32</v>
      </c>
      <c r="M212">
        <v>172</v>
      </c>
      <c r="N212" t="str">
        <f t="shared" si="3"/>
        <v>111_172</v>
      </c>
      <c r="O212" t="s">
        <v>31</v>
      </c>
      <c r="P212">
        <v>330500</v>
      </c>
      <c r="Q212" t="s">
        <v>31</v>
      </c>
      <c r="R212" t="s">
        <v>31</v>
      </c>
      <c r="S212" t="s">
        <v>31</v>
      </c>
      <c r="T212" t="s">
        <v>31</v>
      </c>
      <c r="U212">
        <f>_xll.OneStreamExcelAddIn.XFFunctions.XFGetCell(A212,B212,C212,D212,E212,F212,G212,H212,I212,J212,K212,L212,M212,N212,O212,P212,Q212,R212,S212,T212)</f>
        <v>0</v>
      </c>
    </row>
    <row r="213" spans="1:21">
      <c r="A213" t="b">
        <v>1</v>
      </c>
      <c r="B213" t="s">
        <v>26</v>
      </c>
      <c r="C213">
        <v>111</v>
      </c>
      <c r="E213" t="s">
        <v>38</v>
      </c>
      <c r="F213" t="s">
        <v>27</v>
      </c>
      <c r="G213" t="str">
        <f>INDEX('User Inputs'!$G$3:$G$14,MATCH(1,'User Inputs'!$J$3:$J$14,0))</f>
        <v>2026M05</v>
      </c>
      <c r="H213" t="s">
        <v>29</v>
      </c>
      <c r="I213">
        <v>614200</v>
      </c>
      <c r="J213" t="s">
        <v>41</v>
      </c>
      <c r="K213" t="s">
        <v>31</v>
      </c>
      <c r="L213" t="s">
        <v>32</v>
      </c>
      <c r="M213">
        <v>172</v>
      </c>
      <c r="N213" t="str">
        <f t="shared" si="3"/>
        <v>111_172</v>
      </c>
      <c r="O213" t="s">
        <v>31</v>
      </c>
      <c r="P213">
        <v>330610</v>
      </c>
      <c r="Q213" t="s">
        <v>31</v>
      </c>
      <c r="R213" t="s">
        <v>31</v>
      </c>
      <c r="S213" t="s">
        <v>31</v>
      </c>
      <c r="T213" t="s">
        <v>31</v>
      </c>
      <c r="U213">
        <f>_xll.OneStreamExcelAddIn.XFFunctions.XFGetCell(A213,B213,C213,D213,E213,F213,G213,H213,I213,J213,K213,L213,M213,N213,O213,P213,Q213,R213,S213,T213)</f>
        <v>0</v>
      </c>
    </row>
    <row r="214" spans="1:21">
      <c r="A214" t="b">
        <v>1</v>
      </c>
      <c r="B214" t="s">
        <v>26</v>
      </c>
      <c r="C214">
        <v>111</v>
      </c>
      <c r="E214" t="s">
        <v>38</v>
      </c>
      <c r="F214" t="s">
        <v>27</v>
      </c>
      <c r="G214" t="str">
        <f>INDEX('User Inputs'!$G$3:$G$14,MATCH(1,'User Inputs'!$J$3:$J$14,0))</f>
        <v>2026M05</v>
      </c>
      <c r="H214" t="s">
        <v>29</v>
      </c>
      <c r="I214">
        <v>614200</v>
      </c>
      <c r="J214" t="s">
        <v>41</v>
      </c>
      <c r="K214" t="s">
        <v>31</v>
      </c>
      <c r="L214" t="s">
        <v>32</v>
      </c>
      <c r="M214">
        <v>172</v>
      </c>
      <c r="N214" t="str">
        <f t="shared" si="3"/>
        <v>111_172</v>
      </c>
      <c r="O214" t="s">
        <v>31</v>
      </c>
      <c r="P214">
        <v>330600</v>
      </c>
      <c r="Q214" t="s">
        <v>31</v>
      </c>
      <c r="R214" t="s">
        <v>31</v>
      </c>
      <c r="S214" t="s">
        <v>31</v>
      </c>
      <c r="T214" t="s">
        <v>31</v>
      </c>
      <c r="U214">
        <f>_xll.OneStreamExcelAddIn.XFFunctions.XFGetCell(A214,B214,C214,D214,E214,F214,G214,H214,I214,J214,K214,L214,M214,N214,O214,P214,Q214,R214,S214,T214)</f>
        <v>0</v>
      </c>
    </row>
    <row r="215" spans="1:21">
      <c r="A215" t="b">
        <v>1</v>
      </c>
      <c r="B215" t="s">
        <v>26</v>
      </c>
      <c r="C215">
        <v>111</v>
      </c>
      <c r="E215" t="s">
        <v>38</v>
      </c>
      <c r="F215" t="s">
        <v>27</v>
      </c>
      <c r="G215" t="str">
        <f>INDEX('User Inputs'!$G$3:$G$14,MATCH(1,'User Inputs'!$J$3:$J$14,0))</f>
        <v>2026M05</v>
      </c>
      <c r="H215" t="s">
        <v>29</v>
      </c>
      <c r="I215">
        <v>614200</v>
      </c>
      <c r="J215" t="s">
        <v>41</v>
      </c>
      <c r="K215" t="s">
        <v>31</v>
      </c>
      <c r="L215" t="s">
        <v>32</v>
      </c>
      <c r="M215">
        <v>172</v>
      </c>
      <c r="N215" t="str">
        <f t="shared" si="3"/>
        <v>111_172</v>
      </c>
      <c r="O215" t="s">
        <v>31</v>
      </c>
      <c r="P215">
        <v>330620</v>
      </c>
      <c r="Q215" t="s">
        <v>31</v>
      </c>
      <c r="R215" t="s">
        <v>31</v>
      </c>
      <c r="S215" t="s">
        <v>31</v>
      </c>
      <c r="T215" t="s">
        <v>31</v>
      </c>
      <c r="U215">
        <f>_xll.OneStreamExcelAddIn.XFFunctions.XFGetCell(A215,B215,C215,D215,E215,F215,G215,H215,I215,J215,K215,L215,M215,N215,O215,P215,Q215,R215,S215,T215)</f>
        <v>0</v>
      </c>
    </row>
    <row r="216" spans="1:21">
      <c r="A216" t="b">
        <v>1</v>
      </c>
      <c r="B216" t="s">
        <v>26</v>
      </c>
      <c r="C216">
        <v>111</v>
      </c>
      <c r="E216" t="s">
        <v>38</v>
      </c>
      <c r="F216" t="s">
        <v>27</v>
      </c>
      <c r="G216" t="str">
        <f>INDEX('User Inputs'!$G$3:$G$14,MATCH(1,'User Inputs'!$J$3:$J$14,0))</f>
        <v>2026M05</v>
      </c>
      <c r="H216" t="s">
        <v>29</v>
      </c>
      <c r="I216">
        <v>614200</v>
      </c>
      <c r="J216" t="s">
        <v>41</v>
      </c>
      <c r="K216" t="s">
        <v>31</v>
      </c>
      <c r="L216" t="s">
        <v>32</v>
      </c>
      <c r="M216">
        <v>172</v>
      </c>
      <c r="N216" t="str">
        <f t="shared" si="3"/>
        <v>111_172</v>
      </c>
      <c r="O216" t="s">
        <v>31</v>
      </c>
      <c r="P216">
        <v>330630</v>
      </c>
      <c r="Q216" t="s">
        <v>31</v>
      </c>
      <c r="R216" t="s">
        <v>31</v>
      </c>
      <c r="S216" t="s">
        <v>31</v>
      </c>
      <c r="T216" t="s">
        <v>31</v>
      </c>
      <c r="U216">
        <f>_xll.OneStreamExcelAddIn.XFFunctions.XFGetCell(A216,B216,C216,D216,E216,F216,G216,H216,I216,J216,K216,L216,M216,N216,O216,P216,Q216,R216,S216,T216)</f>
        <v>0</v>
      </c>
    </row>
    <row r="217" spans="1:21">
      <c r="A217" t="b">
        <v>1</v>
      </c>
      <c r="B217" t="s">
        <v>26</v>
      </c>
      <c r="C217">
        <v>111</v>
      </c>
      <c r="E217" t="s">
        <v>38</v>
      </c>
      <c r="F217" t="s">
        <v>27</v>
      </c>
      <c r="G217" t="str">
        <f>INDEX('User Inputs'!$G$3:$G$14,MATCH(1,'User Inputs'!$J$3:$J$14,0))</f>
        <v>2026M05</v>
      </c>
      <c r="H217" t="s">
        <v>29</v>
      </c>
      <c r="I217">
        <v>616000</v>
      </c>
      <c r="J217" t="s">
        <v>41</v>
      </c>
      <c r="K217" t="s">
        <v>31</v>
      </c>
      <c r="L217" t="s">
        <v>32</v>
      </c>
      <c r="M217">
        <v>172</v>
      </c>
      <c r="N217" t="str">
        <f t="shared" si="3"/>
        <v>111_172</v>
      </c>
      <c r="O217" t="s">
        <v>31</v>
      </c>
      <c r="P217">
        <v>330710</v>
      </c>
      <c r="Q217" t="s">
        <v>31</v>
      </c>
      <c r="R217" t="s">
        <v>31</v>
      </c>
      <c r="S217" t="s">
        <v>31</v>
      </c>
      <c r="T217" t="s">
        <v>31</v>
      </c>
      <c r="U217">
        <f>_xll.OneStreamExcelAddIn.XFFunctions.XFGetCell(A217,B217,C217,D217,E217,F217,G217,H217,I217,J217,K217,L217,M217,N217,O217,P217,Q217,R217,S217,T217)</f>
        <v>0</v>
      </c>
    </row>
    <row r="218" spans="1:21">
      <c r="A218" t="b">
        <v>1</v>
      </c>
      <c r="B218" t="s">
        <v>26</v>
      </c>
      <c r="C218">
        <v>111</v>
      </c>
      <c r="E218" t="s">
        <v>38</v>
      </c>
      <c r="F218" t="s">
        <v>27</v>
      </c>
      <c r="G218" t="str">
        <f>INDEX('User Inputs'!$G$3:$G$14,MATCH(1,'User Inputs'!$J$3:$J$14,0))</f>
        <v>2026M05</v>
      </c>
      <c r="H218" t="s">
        <v>29</v>
      </c>
      <c r="I218">
        <v>616000</v>
      </c>
      <c r="J218" t="s">
        <v>41</v>
      </c>
      <c r="K218" t="s">
        <v>31</v>
      </c>
      <c r="L218" t="s">
        <v>32</v>
      </c>
      <c r="M218">
        <v>172</v>
      </c>
      <c r="N218" t="str">
        <f t="shared" si="3"/>
        <v>111_172</v>
      </c>
      <c r="O218" t="s">
        <v>31</v>
      </c>
      <c r="P218">
        <v>330700</v>
      </c>
      <c r="Q218" t="s">
        <v>31</v>
      </c>
      <c r="R218" t="s">
        <v>31</v>
      </c>
      <c r="S218" t="s">
        <v>31</v>
      </c>
      <c r="T218" t="s">
        <v>31</v>
      </c>
      <c r="U218">
        <f>_xll.OneStreamExcelAddIn.XFFunctions.XFGetCell(A218,B218,C218,D218,E218,F218,G218,H218,I218,J218,K218,L218,M218,N218,O218,P218,Q218,R218,S218,T218)</f>
        <v>0</v>
      </c>
    </row>
    <row r="219" spans="1:21">
      <c r="A219" t="b">
        <v>1</v>
      </c>
      <c r="B219" t="s">
        <v>26</v>
      </c>
      <c r="C219">
        <v>111</v>
      </c>
      <c r="E219" t="s">
        <v>38</v>
      </c>
      <c r="F219" t="s">
        <v>27</v>
      </c>
      <c r="G219" t="str">
        <f>INDEX('User Inputs'!$G$3:$G$14,MATCH(1,'User Inputs'!$J$3:$J$14,0))</f>
        <v>2026M05</v>
      </c>
      <c r="H219" t="s">
        <v>29</v>
      </c>
      <c r="I219">
        <v>618000</v>
      </c>
      <c r="J219" t="s">
        <v>41</v>
      </c>
      <c r="K219" t="s">
        <v>31</v>
      </c>
      <c r="L219" t="s">
        <v>32</v>
      </c>
      <c r="M219">
        <v>172</v>
      </c>
      <c r="N219" t="str">
        <f t="shared" si="3"/>
        <v>111_172</v>
      </c>
      <c r="O219" t="s">
        <v>31</v>
      </c>
      <c r="P219">
        <v>330800</v>
      </c>
      <c r="Q219" t="s">
        <v>31</v>
      </c>
      <c r="R219" t="s">
        <v>31</v>
      </c>
      <c r="S219" t="s">
        <v>31</v>
      </c>
      <c r="T219" t="s">
        <v>31</v>
      </c>
      <c r="U219">
        <f>_xll.OneStreamExcelAddIn.XFFunctions.XFGetCell(A219,B219,C219,D219,E219,F219,G219,H219,I219,J219,K219,L219,M219,N219,O219,P219,Q219,R219,S219,T219)</f>
        <v>0</v>
      </c>
    </row>
    <row r="220" spans="1:21">
      <c r="A220" t="b">
        <v>1</v>
      </c>
      <c r="B220" t="s">
        <v>26</v>
      </c>
      <c r="C220">
        <v>111</v>
      </c>
      <c r="E220" t="s">
        <v>38</v>
      </c>
      <c r="F220" t="s">
        <v>27</v>
      </c>
      <c r="G220" t="str">
        <f>INDEX('User Inputs'!$G$3:$G$14,MATCH(1,'User Inputs'!$J$3:$J$14,0))</f>
        <v>2026M05</v>
      </c>
      <c r="H220" t="s">
        <v>29</v>
      </c>
      <c r="I220">
        <v>618050</v>
      </c>
      <c r="J220" t="s">
        <v>41</v>
      </c>
      <c r="K220" t="s">
        <v>31</v>
      </c>
      <c r="L220" t="s">
        <v>32</v>
      </c>
      <c r="M220">
        <v>172</v>
      </c>
      <c r="N220" t="str">
        <f t="shared" si="3"/>
        <v>111_172</v>
      </c>
      <c r="O220" t="s">
        <v>31</v>
      </c>
      <c r="P220">
        <v>330900</v>
      </c>
      <c r="Q220" t="s">
        <v>31</v>
      </c>
      <c r="R220" t="s">
        <v>31</v>
      </c>
      <c r="S220" t="s">
        <v>31</v>
      </c>
      <c r="T220" t="s">
        <v>31</v>
      </c>
      <c r="U220">
        <f>_xll.OneStreamExcelAddIn.XFFunctions.XFGetCell(A220,B220,C220,D220,E220,F220,G220,H220,I220,J220,K220,L220,M220,N220,O220,P220,Q220,R220,S220,T220)</f>
        <v>0</v>
      </c>
    </row>
    <row r="221" spans="1:21">
      <c r="A221" t="b">
        <v>1</v>
      </c>
      <c r="B221" t="s">
        <v>26</v>
      </c>
      <c r="C221">
        <v>111</v>
      </c>
      <c r="E221" t="s">
        <v>38</v>
      </c>
      <c r="F221" t="s">
        <v>27</v>
      </c>
      <c r="G221" t="str">
        <f>INDEX('User Inputs'!$G$3:$G$14,MATCH(1,'User Inputs'!$J$3:$J$14,0))</f>
        <v>2026M05</v>
      </c>
      <c r="H221" t="s">
        <v>29</v>
      </c>
      <c r="I221">
        <v>618050</v>
      </c>
      <c r="J221" t="s">
        <v>41</v>
      </c>
      <c r="K221" t="s">
        <v>31</v>
      </c>
      <c r="L221" t="s">
        <v>32</v>
      </c>
      <c r="M221">
        <v>172</v>
      </c>
      <c r="N221" t="str">
        <f t="shared" si="3"/>
        <v>111_172</v>
      </c>
      <c r="O221" t="s">
        <v>31</v>
      </c>
      <c r="P221">
        <v>330910</v>
      </c>
      <c r="Q221" t="s">
        <v>31</v>
      </c>
      <c r="R221" t="s">
        <v>31</v>
      </c>
      <c r="S221" t="s">
        <v>31</v>
      </c>
      <c r="T221" t="s">
        <v>31</v>
      </c>
      <c r="U221">
        <f>_xll.OneStreamExcelAddIn.XFFunctions.XFGetCell(A221,B221,C221,D221,E221,F221,G221,H221,I221,J221,K221,L221,M221,N221,O221,P221,Q221,R221,S221,T221)</f>
        <v>0</v>
      </c>
    </row>
    <row r="222" spans="1:21">
      <c r="A222" t="b">
        <v>1</v>
      </c>
      <c r="B222" t="s">
        <v>26</v>
      </c>
      <c r="C222">
        <v>111</v>
      </c>
      <c r="E222" t="s">
        <v>38</v>
      </c>
      <c r="F222" t="s">
        <v>27</v>
      </c>
      <c r="G222" t="str">
        <f>INDEX('User Inputs'!$G$3:$G$14,MATCH(1,'User Inputs'!$J$3:$J$14,0))</f>
        <v>2026M05</v>
      </c>
      <c r="H222" t="s">
        <v>29</v>
      </c>
      <c r="I222">
        <v>618200</v>
      </c>
      <c r="J222" t="s">
        <v>41</v>
      </c>
      <c r="K222" t="s">
        <v>31</v>
      </c>
      <c r="L222" t="s">
        <v>32</v>
      </c>
      <c r="M222">
        <v>172</v>
      </c>
      <c r="N222" t="str">
        <f t="shared" si="3"/>
        <v>111_172</v>
      </c>
      <c r="O222" t="s">
        <v>31</v>
      </c>
      <c r="P222">
        <v>330920</v>
      </c>
      <c r="Q222" t="s">
        <v>31</v>
      </c>
      <c r="R222" t="s">
        <v>31</v>
      </c>
      <c r="S222" t="s">
        <v>31</v>
      </c>
      <c r="T222" t="s">
        <v>31</v>
      </c>
      <c r="U222">
        <f>_xll.OneStreamExcelAddIn.XFFunctions.XFGetCell(A222,B222,C222,D222,E222,F222,G222,H222,I222,J222,K222,L222,M222,N222,O222,P222,Q222,R222,S222,T222)</f>
        <v>0</v>
      </c>
    </row>
    <row r="223" spans="1:21">
      <c r="A223" t="b">
        <v>1</v>
      </c>
      <c r="B223" t="s">
        <v>26</v>
      </c>
      <c r="C223">
        <v>111</v>
      </c>
      <c r="E223" t="s">
        <v>38</v>
      </c>
      <c r="F223" t="s">
        <v>27</v>
      </c>
      <c r="G223" t="str">
        <f>INDEX('User Inputs'!$G$3:$G$14,MATCH(1,'User Inputs'!$J$3:$J$14,0))</f>
        <v>2026M05</v>
      </c>
      <c r="H223" t="s">
        <v>29</v>
      </c>
      <c r="I223">
        <v>618250</v>
      </c>
      <c r="J223" t="s">
        <v>41</v>
      </c>
      <c r="K223" t="s">
        <v>31</v>
      </c>
      <c r="L223" t="s">
        <v>32</v>
      </c>
      <c r="M223">
        <v>172</v>
      </c>
      <c r="N223" t="str">
        <f t="shared" si="3"/>
        <v>111_172</v>
      </c>
      <c r="O223" t="s">
        <v>31</v>
      </c>
      <c r="P223">
        <v>331020</v>
      </c>
      <c r="Q223" t="s">
        <v>31</v>
      </c>
      <c r="R223" t="s">
        <v>31</v>
      </c>
      <c r="S223" t="s">
        <v>31</v>
      </c>
      <c r="T223" t="s">
        <v>31</v>
      </c>
      <c r="U223">
        <f>_xll.OneStreamExcelAddIn.XFFunctions.XFGetCell(A223,B223,C223,D223,E223,F223,G223,H223,I223,J223,K223,L223,M223,N223,O223,P223,Q223,R223,S223,T223)</f>
        <v>0</v>
      </c>
    </row>
    <row r="224" spans="1:21">
      <c r="A224" t="b">
        <v>1</v>
      </c>
      <c r="B224" t="s">
        <v>26</v>
      </c>
      <c r="C224">
        <v>111</v>
      </c>
      <c r="E224" t="s">
        <v>38</v>
      </c>
      <c r="F224" t="s">
        <v>27</v>
      </c>
      <c r="G224" t="str">
        <f>INDEX('User Inputs'!$G$3:$G$14,MATCH(1,'User Inputs'!$J$3:$J$14,0))</f>
        <v>2026M05</v>
      </c>
      <c r="H224" t="s">
        <v>29</v>
      </c>
      <c r="I224">
        <v>618250</v>
      </c>
      <c r="J224" t="s">
        <v>41</v>
      </c>
      <c r="K224" t="s">
        <v>31</v>
      </c>
      <c r="L224" t="s">
        <v>32</v>
      </c>
      <c r="M224">
        <v>172</v>
      </c>
      <c r="N224" t="str">
        <f t="shared" si="3"/>
        <v>111_172</v>
      </c>
      <c r="O224" t="s">
        <v>31</v>
      </c>
      <c r="P224">
        <v>331000</v>
      </c>
      <c r="Q224" t="s">
        <v>31</v>
      </c>
      <c r="R224" t="s">
        <v>31</v>
      </c>
      <c r="S224" t="s">
        <v>31</v>
      </c>
      <c r="T224" t="s">
        <v>31</v>
      </c>
      <c r="U224">
        <f>_xll.OneStreamExcelAddIn.XFFunctions.XFGetCell(A224,B224,C224,D224,E224,F224,G224,H224,I224,J224,K224,L224,M224,N224,O224,P224,Q224,R224,S224,T224)</f>
        <v>0</v>
      </c>
    </row>
    <row r="225" spans="1:21">
      <c r="A225" t="b">
        <v>1</v>
      </c>
      <c r="B225" t="s">
        <v>26</v>
      </c>
      <c r="C225">
        <v>111</v>
      </c>
      <c r="E225" t="s">
        <v>38</v>
      </c>
      <c r="F225" t="s">
        <v>27</v>
      </c>
      <c r="G225" t="str">
        <f>INDEX('User Inputs'!$G$3:$G$14,MATCH(1,'User Inputs'!$J$3:$J$14,0))</f>
        <v>2026M05</v>
      </c>
      <c r="H225" t="s">
        <v>29</v>
      </c>
      <c r="I225">
        <v>618250</v>
      </c>
      <c r="J225" t="s">
        <v>41</v>
      </c>
      <c r="K225" t="s">
        <v>31</v>
      </c>
      <c r="L225" t="s">
        <v>32</v>
      </c>
      <c r="M225">
        <v>172</v>
      </c>
      <c r="N225" t="str">
        <f t="shared" si="3"/>
        <v>111_172</v>
      </c>
      <c r="O225" t="s">
        <v>31</v>
      </c>
      <c r="P225">
        <v>331050</v>
      </c>
      <c r="Q225" t="s">
        <v>31</v>
      </c>
      <c r="R225" t="s">
        <v>31</v>
      </c>
      <c r="S225" t="s">
        <v>31</v>
      </c>
      <c r="T225" t="s">
        <v>31</v>
      </c>
      <c r="U225">
        <f>_xll.OneStreamExcelAddIn.XFFunctions.XFGetCell(A225,B225,C225,D225,E225,F225,G225,H225,I225,J225,K225,L225,M225,N225,O225,P225,Q225,R225,S225,T225)</f>
        <v>0</v>
      </c>
    </row>
    <row r="226" spans="1:21">
      <c r="A226" t="b">
        <v>1</v>
      </c>
      <c r="B226" t="s">
        <v>26</v>
      </c>
      <c r="C226">
        <v>111</v>
      </c>
      <c r="E226" t="s">
        <v>38</v>
      </c>
      <c r="F226" t="s">
        <v>27</v>
      </c>
      <c r="G226" t="str">
        <f>INDEX('User Inputs'!$G$3:$G$14,MATCH(1,'User Inputs'!$J$3:$J$14,0))</f>
        <v>2026M05</v>
      </c>
      <c r="H226" t="s">
        <v>29</v>
      </c>
      <c r="I226">
        <v>618250</v>
      </c>
      <c r="J226" t="s">
        <v>41</v>
      </c>
      <c r="K226" t="s">
        <v>31</v>
      </c>
      <c r="L226" t="s">
        <v>32</v>
      </c>
      <c r="M226">
        <v>172</v>
      </c>
      <c r="N226" t="str">
        <f t="shared" si="3"/>
        <v>111_172</v>
      </c>
      <c r="O226" t="s">
        <v>31</v>
      </c>
      <c r="P226">
        <v>331040</v>
      </c>
      <c r="Q226" t="s">
        <v>31</v>
      </c>
      <c r="R226" t="s">
        <v>31</v>
      </c>
      <c r="S226" t="s">
        <v>31</v>
      </c>
      <c r="T226" t="s">
        <v>31</v>
      </c>
      <c r="U226">
        <f>_xll.OneStreamExcelAddIn.XFFunctions.XFGetCell(A226,B226,C226,D226,E226,F226,G226,H226,I226,J226,K226,L226,M226,N226,O226,P226,Q226,R226,S226,T226)</f>
        <v>0</v>
      </c>
    </row>
    <row r="227" spans="1:21">
      <c r="A227" t="b">
        <v>1</v>
      </c>
      <c r="B227" t="s">
        <v>26</v>
      </c>
      <c r="C227">
        <v>111</v>
      </c>
      <c r="E227" t="s">
        <v>38</v>
      </c>
      <c r="F227" t="s">
        <v>27</v>
      </c>
      <c r="G227" t="str">
        <f>INDEX('User Inputs'!$G$3:$G$14,MATCH(1,'User Inputs'!$J$3:$J$14,0))</f>
        <v>2026M05</v>
      </c>
      <c r="H227" t="s">
        <v>29</v>
      </c>
      <c r="I227">
        <v>618250</v>
      </c>
      <c r="J227" t="s">
        <v>41</v>
      </c>
      <c r="K227" t="s">
        <v>31</v>
      </c>
      <c r="L227" t="s">
        <v>32</v>
      </c>
      <c r="M227">
        <v>172</v>
      </c>
      <c r="N227" t="str">
        <f t="shared" si="3"/>
        <v>111_172</v>
      </c>
      <c r="O227" t="s">
        <v>31</v>
      </c>
      <c r="P227">
        <v>331030</v>
      </c>
      <c r="Q227" t="s">
        <v>31</v>
      </c>
      <c r="R227" t="s">
        <v>31</v>
      </c>
      <c r="S227" t="s">
        <v>31</v>
      </c>
      <c r="T227" t="s">
        <v>31</v>
      </c>
      <c r="U227">
        <f>_xll.OneStreamExcelAddIn.XFFunctions.XFGetCell(A227,B227,C227,D227,E227,F227,G227,H227,I227,J227,K227,L227,M227,N227,O227,P227,Q227,R227,S227,T227)</f>
        <v>0</v>
      </c>
    </row>
    <row r="228" spans="1:21">
      <c r="A228" t="b">
        <v>1</v>
      </c>
      <c r="B228" t="s">
        <v>26</v>
      </c>
      <c r="C228">
        <v>111</v>
      </c>
      <c r="E228" t="s">
        <v>38</v>
      </c>
      <c r="F228" t="s">
        <v>27</v>
      </c>
      <c r="G228" t="str">
        <f>INDEX('User Inputs'!$G$3:$G$14,MATCH(1,'User Inputs'!$J$3:$J$14,0))</f>
        <v>2026M05</v>
      </c>
      <c r="H228" t="s">
        <v>29</v>
      </c>
      <c r="I228">
        <v>618250</v>
      </c>
      <c r="J228" t="s">
        <v>41</v>
      </c>
      <c r="K228" t="s">
        <v>31</v>
      </c>
      <c r="L228" t="s">
        <v>32</v>
      </c>
      <c r="M228">
        <v>172</v>
      </c>
      <c r="N228" t="str">
        <f t="shared" si="3"/>
        <v>111_172</v>
      </c>
      <c r="O228" t="s">
        <v>31</v>
      </c>
      <c r="P228">
        <v>331010</v>
      </c>
      <c r="Q228" t="s">
        <v>31</v>
      </c>
      <c r="R228" t="s">
        <v>31</v>
      </c>
      <c r="S228" t="s">
        <v>31</v>
      </c>
      <c r="T228" t="s">
        <v>31</v>
      </c>
      <c r="U228">
        <f>_xll.OneStreamExcelAddIn.XFFunctions.XFGetCell(A228,B228,C228,D228,E228,F228,G228,H228,I228,J228,K228,L228,M228,N228,O228,P228,Q228,R228,S228,T228)</f>
        <v>0</v>
      </c>
    </row>
    <row r="229" spans="1:21">
      <c r="A229" t="b">
        <v>1</v>
      </c>
      <c r="B229" t="s">
        <v>26</v>
      </c>
      <c r="C229">
        <v>111</v>
      </c>
      <c r="E229" t="s">
        <v>38</v>
      </c>
      <c r="F229" t="s">
        <v>27</v>
      </c>
      <c r="G229" t="str">
        <f>INDEX('User Inputs'!$G$3:$G$14,MATCH(1,'User Inputs'!$J$3:$J$14,0))</f>
        <v>2026M05</v>
      </c>
      <c r="H229" t="s">
        <v>29</v>
      </c>
      <c r="I229">
        <v>618300</v>
      </c>
      <c r="J229" t="s">
        <v>41</v>
      </c>
      <c r="K229" t="s">
        <v>31</v>
      </c>
      <c r="L229" t="s">
        <v>32</v>
      </c>
      <c r="M229">
        <v>172</v>
      </c>
      <c r="N229" t="str">
        <f t="shared" si="3"/>
        <v>111_172</v>
      </c>
      <c r="O229" t="s">
        <v>31</v>
      </c>
      <c r="P229">
        <v>331200</v>
      </c>
      <c r="Q229" t="s">
        <v>31</v>
      </c>
      <c r="R229" t="s">
        <v>31</v>
      </c>
      <c r="S229" t="s">
        <v>31</v>
      </c>
      <c r="T229" t="s">
        <v>31</v>
      </c>
      <c r="U229">
        <f>_xll.OneStreamExcelAddIn.XFFunctions.XFGetCell(A229,B229,C229,D229,E229,F229,G229,H229,I229,J229,K229,L229,M229,N229,O229,P229,Q229,R229,S229,T229)</f>
        <v>0</v>
      </c>
    </row>
    <row r="230" spans="1:21">
      <c r="A230" t="b">
        <v>1</v>
      </c>
      <c r="B230" t="s">
        <v>26</v>
      </c>
      <c r="C230">
        <v>111</v>
      </c>
      <c r="E230" t="s">
        <v>38</v>
      </c>
      <c r="F230" t="s">
        <v>27</v>
      </c>
      <c r="G230" t="str">
        <f>INDEX('User Inputs'!$G$3:$G$14,MATCH(1,'User Inputs'!$J$3:$J$14,0))</f>
        <v>2026M05</v>
      </c>
      <c r="H230" t="s">
        <v>29</v>
      </c>
      <c r="I230">
        <v>618300</v>
      </c>
      <c r="J230" t="s">
        <v>41</v>
      </c>
      <c r="K230" t="s">
        <v>31</v>
      </c>
      <c r="L230" t="s">
        <v>32</v>
      </c>
      <c r="M230">
        <v>172</v>
      </c>
      <c r="N230" t="str">
        <f t="shared" si="3"/>
        <v>111_172</v>
      </c>
      <c r="O230" t="s">
        <v>31</v>
      </c>
      <c r="P230">
        <v>331240</v>
      </c>
      <c r="Q230" t="s">
        <v>31</v>
      </c>
      <c r="R230" t="s">
        <v>31</v>
      </c>
      <c r="S230" t="s">
        <v>31</v>
      </c>
      <c r="T230" t="s">
        <v>31</v>
      </c>
      <c r="U230">
        <f>_xll.OneStreamExcelAddIn.XFFunctions.XFGetCell(A230,B230,C230,D230,E230,F230,G230,H230,I230,J230,K230,L230,M230,N230,O230,P230,Q230,R230,S230,T230)</f>
        <v>0</v>
      </c>
    </row>
    <row r="231" spans="1:21">
      <c r="A231" t="b">
        <v>1</v>
      </c>
      <c r="B231" t="s">
        <v>26</v>
      </c>
      <c r="C231">
        <v>111</v>
      </c>
      <c r="E231" t="s">
        <v>38</v>
      </c>
      <c r="F231" t="s">
        <v>27</v>
      </c>
      <c r="G231" t="str">
        <f>INDEX('User Inputs'!$G$3:$G$14,MATCH(1,'User Inputs'!$J$3:$J$14,0))</f>
        <v>2026M05</v>
      </c>
      <c r="H231" t="s">
        <v>29</v>
      </c>
      <c r="I231">
        <v>618300</v>
      </c>
      <c r="J231" t="s">
        <v>41</v>
      </c>
      <c r="K231" t="s">
        <v>31</v>
      </c>
      <c r="L231" t="s">
        <v>32</v>
      </c>
      <c r="M231">
        <v>172</v>
      </c>
      <c r="N231" t="str">
        <f t="shared" si="3"/>
        <v>111_172</v>
      </c>
      <c r="O231" t="s">
        <v>31</v>
      </c>
      <c r="P231">
        <v>331230</v>
      </c>
      <c r="Q231" t="s">
        <v>31</v>
      </c>
      <c r="R231" t="s">
        <v>31</v>
      </c>
      <c r="S231" t="s">
        <v>31</v>
      </c>
      <c r="T231" t="s">
        <v>31</v>
      </c>
      <c r="U231">
        <f>_xll.OneStreamExcelAddIn.XFFunctions.XFGetCell(A231,B231,C231,D231,E231,F231,G231,H231,I231,J231,K231,L231,M231,N231,O231,P231,Q231,R231,S231,T231)</f>
        <v>0</v>
      </c>
    </row>
    <row r="232" spans="1:21">
      <c r="A232" t="b">
        <v>1</v>
      </c>
      <c r="B232" t="s">
        <v>26</v>
      </c>
      <c r="C232">
        <v>111</v>
      </c>
      <c r="E232" t="s">
        <v>38</v>
      </c>
      <c r="F232" t="s">
        <v>27</v>
      </c>
      <c r="G232" t="str">
        <f>INDEX('User Inputs'!$G$3:$G$14,MATCH(1,'User Inputs'!$J$3:$J$14,0))</f>
        <v>2026M05</v>
      </c>
      <c r="H232" t="s">
        <v>29</v>
      </c>
      <c r="I232">
        <v>618300</v>
      </c>
      <c r="J232" t="s">
        <v>41</v>
      </c>
      <c r="K232" t="s">
        <v>31</v>
      </c>
      <c r="L232" t="s">
        <v>32</v>
      </c>
      <c r="M232">
        <v>172</v>
      </c>
      <c r="N232" t="str">
        <f t="shared" si="3"/>
        <v>111_172</v>
      </c>
      <c r="O232" t="s">
        <v>31</v>
      </c>
      <c r="P232">
        <v>331220</v>
      </c>
      <c r="Q232" t="s">
        <v>31</v>
      </c>
      <c r="R232" t="s">
        <v>31</v>
      </c>
      <c r="S232" t="s">
        <v>31</v>
      </c>
      <c r="T232" t="s">
        <v>31</v>
      </c>
      <c r="U232">
        <f>_xll.OneStreamExcelAddIn.XFFunctions.XFGetCell(A232,B232,C232,D232,E232,F232,G232,H232,I232,J232,K232,L232,M232,N232,O232,P232,Q232,R232,S232,T232)</f>
        <v>0</v>
      </c>
    </row>
    <row r="233" spans="1:21">
      <c r="A233" t="b">
        <v>1</v>
      </c>
      <c r="B233" t="s">
        <v>26</v>
      </c>
      <c r="C233">
        <v>111</v>
      </c>
      <c r="E233" t="s">
        <v>38</v>
      </c>
      <c r="F233" t="s">
        <v>27</v>
      </c>
      <c r="G233" t="str">
        <f>INDEX('User Inputs'!$G$3:$G$14,MATCH(1,'User Inputs'!$J$3:$J$14,0))</f>
        <v>2026M05</v>
      </c>
      <c r="H233" t="s">
        <v>29</v>
      </c>
      <c r="I233">
        <v>618300</v>
      </c>
      <c r="J233" t="s">
        <v>41</v>
      </c>
      <c r="K233" t="s">
        <v>31</v>
      </c>
      <c r="L233" t="s">
        <v>32</v>
      </c>
      <c r="M233">
        <v>172</v>
      </c>
      <c r="N233" t="str">
        <f t="shared" si="3"/>
        <v>111_172</v>
      </c>
      <c r="O233" t="s">
        <v>31</v>
      </c>
      <c r="P233">
        <v>331210</v>
      </c>
      <c r="Q233" t="s">
        <v>31</v>
      </c>
      <c r="R233" t="s">
        <v>31</v>
      </c>
      <c r="S233" t="s">
        <v>31</v>
      </c>
      <c r="T233" t="s">
        <v>31</v>
      </c>
      <c r="U233">
        <f>_xll.OneStreamExcelAddIn.XFFunctions.XFGetCell(A233,B233,C233,D233,E233,F233,G233,H233,I233,J233,K233,L233,M233,N233,O233,P233,Q233,R233,S233,T233)</f>
        <v>0</v>
      </c>
    </row>
    <row r="234" spans="1:21">
      <c r="A234" t="b">
        <v>1</v>
      </c>
      <c r="B234" t="s">
        <v>26</v>
      </c>
      <c r="C234">
        <v>111</v>
      </c>
      <c r="E234" t="s">
        <v>38</v>
      </c>
      <c r="F234" t="s">
        <v>27</v>
      </c>
      <c r="G234" t="str">
        <f>INDEX('User Inputs'!$G$3:$G$14,MATCH(1,'User Inputs'!$J$3:$J$14,0))</f>
        <v>2026M05</v>
      </c>
      <c r="H234" t="s">
        <v>29</v>
      </c>
      <c r="I234">
        <v>618300</v>
      </c>
      <c r="J234" t="s">
        <v>41</v>
      </c>
      <c r="K234" t="s">
        <v>31</v>
      </c>
      <c r="L234" t="s">
        <v>32</v>
      </c>
      <c r="M234">
        <v>172</v>
      </c>
      <c r="N234" t="str">
        <f t="shared" si="3"/>
        <v>111_172</v>
      </c>
      <c r="O234" t="s">
        <v>31</v>
      </c>
      <c r="P234">
        <v>331250</v>
      </c>
      <c r="Q234" t="s">
        <v>31</v>
      </c>
      <c r="R234" t="s">
        <v>31</v>
      </c>
      <c r="S234" t="s">
        <v>31</v>
      </c>
      <c r="T234" t="s">
        <v>31</v>
      </c>
      <c r="U234">
        <f>_xll.OneStreamExcelAddIn.XFFunctions.XFGetCell(A234,B234,C234,D234,E234,F234,G234,H234,I234,J234,K234,L234,M234,N234,O234,P234,Q234,R234,S234,T234)</f>
        <v>0</v>
      </c>
    </row>
    <row r="235" spans="1:21">
      <c r="A235" t="b">
        <v>1</v>
      </c>
      <c r="B235" t="s">
        <v>26</v>
      </c>
      <c r="C235">
        <v>111</v>
      </c>
      <c r="E235" t="s">
        <v>38</v>
      </c>
      <c r="F235" t="s">
        <v>27</v>
      </c>
      <c r="G235" t="str">
        <f>INDEX('User Inputs'!$G$3:$G$14,MATCH(1,'User Inputs'!$J$3:$J$14,0))</f>
        <v>2026M05</v>
      </c>
      <c r="H235" t="s">
        <v>29</v>
      </c>
      <c r="I235">
        <v>618350</v>
      </c>
      <c r="J235" t="s">
        <v>41</v>
      </c>
      <c r="K235" t="s">
        <v>31</v>
      </c>
      <c r="L235" t="s">
        <v>32</v>
      </c>
      <c r="M235">
        <v>172</v>
      </c>
      <c r="N235" t="str">
        <f t="shared" si="3"/>
        <v>111_172</v>
      </c>
      <c r="O235" t="s">
        <v>31</v>
      </c>
      <c r="P235">
        <v>331300</v>
      </c>
      <c r="Q235" t="s">
        <v>31</v>
      </c>
      <c r="R235" t="s">
        <v>31</v>
      </c>
      <c r="S235" t="s">
        <v>31</v>
      </c>
      <c r="T235" t="s">
        <v>31</v>
      </c>
      <c r="U235">
        <f>_xll.OneStreamExcelAddIn.XFFunctions.XFGetCell(A235,B235,C235,D235,E235,F235,G235,H235,I235,J235,K235,L235,M235,N235,O235,P235,Q235,R235,S235,T235)</f>
        <v>0</v>
      </c>
    </row>
    <row r="236" spans="1:21">
      <c r="A236" t="b">
        <v>1</v>
      </c>
      <c r="B236" t="s">
        <v>26</v>
      </c>
      <c r="C236">
        <v>111</v>
      </c>
      <c r="E236" t="s">
        <v>38</v>
      </c>
      <c r="F236" t="s">
        <v>27</v>
      </c>
      <c r="G236" t="str">
        <f>INDEX('User Inputs'!$G$3:$G$14,MATCH(1,'User Inputs'!$J$3:$J$14,0))</f>
        <v>2026M05</v>
      </c>
      <c r="H236" t="s">
        <v>29</v>
      </c>
      <c r="I236">
        <v>626088</v>
      </c>
      <c r="J236" t="s">
        <v>41</v>
      </c>
      <c r="K236" t="s">
        <v>31</v>
      </c>
      <c r="L236" t="s">
        <v>32</v>
      </c>
      <c r="M236">
        <v>172</v>
      </c>
      <c r="N236" t="str">
        <f t="shared" si="3"/>
        <v>111_172</v>
      </c>
      <c r="O236" t="s">
        <v>31</v>
      </c>
      <c r="P236" s="9" t="s">
        <v>31</v>
      </c>
      <c r="Q236" t="s">
        <v>31</v>
      </c>
      <c r="R236" t="s">
        <v>31</v>
      </c>
      <c r="S236" t="s">
        <v>31</v>
      </c>
      <c r="T236" t="s">
        <v>31</v>
      </c>
      <c r="U236">
        <f>_xll.OneStreamExcelAddIn.XFFunctions.XFGetCell(A236,B236,C236,D236,E236,F236,G236,H236,I236,J236,K236,L236,M236,N236,O236,P236,Q236,R236,S236,T236)</f>
        <v>0</v>
      </c>
    </row>
    <row r="237" spans="1:21">
      <c r="A237" t="b">
        <v>1</v>
      </c>
      <c r="B237" t="s">
        <v>26</v>
      </c>
      <c r="C237">
        <v>111</v>
      </c>
      <c r="E237" t="s">
        <v>38</v>
      </c>
      <c r="F237" t="s">
        <v>27</v>
      </c>
      <c r="G237" t="str">
        <f>INDEX('User Inputs'!$G$3:$G$14,MATCH(1,'User Inputs'!$J$3:$J$14,0))</f>
        <v>2026M05</v>
      </c>
      <c r="H237" t="s">
        <v>29</v>
      </c>
      <c r="I237">
        <v>629999</v>
      </c>
      <c r="J237" t="s">
        <v>41</v>
      </c>
      <c r="K237" t="s">
        <v>31</v>
      </c>
      <c r="L237" t="s">
        <v>32</v>
      </c>
      <c r="M237">
        <v>172</v>
      </c>
      <c r="N237" t="str">
        <f t="shared" si="3"/>
        <v>111_172</v>
      </c>
      <c r="O237" t="s">
        <v>31</v>
      </c>
      <c r="P237">
        <v>331100</v>
      </c>
      <c r="Q237" t="s">
        <v>31</v>
      </c>
      <c r="R237" t="s">
        <v>31</v>
      </c>
      <c r="S237" t="s">
        <v>31</v>
      </c>
      <c r="T237" t="s">
        <v>31</v>
      </c>
      <c r="U237">
        <f>_xll.OneStreamExcelAddIn.XFFunctions.XFGetCell(A237,B237,C237,D237,E237,F237,G237,H237,I237,J237,K237,L237,M237,N237,O237,P237,Q237,R237,S237,T237)</f>
        <v>0</v>
      </c>
    </row>
    <row r="238" spans="1:21">
      <c r="A238" t="b">
        <v>1</v>
      </c>
      <c r="B238" t="s">
        <v>26</v>
      </c>
      <c r="C238" s="13" t="s">
        <v>151</v>
      </c>
      <c r="E238" t="s">
        <v>38</v>
      </c>
      <c r="F238" t="s">
        <v>27</v>
      </c>
      <c r="G238" t="str">
        <f>INDEX('User Inputs'!$G$3:$G$14,MATCH(1,'User Inputs'!$J$3:$J$14,0))</f>
        <v>2026M05</v>
      </c>
      <c r="H238" t="s">
        <v>29</v>
      </c>
      <c r="I238" t="s">
        <v>83</v>
      </c>
      <c r="J238" t="s">
        <v>41</v>
      </c>
      <c r="K238" t="s">
        <v>31</v>
      </c>
      <c r="L238" t="s">
        <v>32</v>
      </c>
      <c r="M238" s="13">
        <v>100</v>
      </c>
      <c r="N238" t="str">
        <f t="shared" ref="N238:N262" si="4">_xlfn.CONCAT(C238,"_",M238)</f>
        <v>113_100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>
        <f>_xll.OneStreamExcelAddIn.XFFunctions.XFGetCell(A238,B238,C238,D238,E238,F238,G238,H238,I238,J238,K238,L238,M238,N238,O238,P238,Q238,R238,S238,T238)</f>
        <v>171948.07</v>
      </c>
    </row>
    <row r="239" spans="1:21">
      <c r="A239" t="b">
        <v>1</v>
      </c>
      <c r="B239" t="s">
        <v>26</v>
      </c>
      <c r="C239" s="14" t="s">
        <v>151</v>
      </c>
      <c r="E239" t="s">
        <v>38</v>
      </c>
      <c r="F239" t="s">
        <v>27</v>
      </c>
      <c r="G239" t="str">
        <f>INDEX('User Inputs'!$G$3:$G$14,MATCH(1,'User Inputs'!$J$3:$J$14,0))</f>
        <v>2026M05</v>
      </c>
      <c r="H239" t="s">
        <v>29</v>
      </c>
      <c r="I239" t="s">
        <v>83</v>
      </c>
      <c r="J239" t="s">
        <v>41</v>
      </c>
      <c r="K239" t="s">
        <v>31</v>
      </c>
      <c r="L239" t="s">
        <v>32</v>
      </c>
      <c r="M239" t="s">
        <v>153</v>
      </c>
      <c r="N239" t="str">
        <f t="shared" si="4"/>
        <v>113_101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>
        <f>_xll.OneStreamExcelAddIn.XFFunctions.XFGetCell(A239,B239,C239,D239,E239,F239,G239,H239,I239,J239,K239,L239,M239,N239,O239,P239,Q239,R239,S239,T239)</f>
        <v>0</v>
      </c>
    </row>
    <row r="240" spans="1:21">
      <c r="A240" t="b">
        <v>1</v>
      </c>
      <c r="B240" t="s">
        <v>26</v>
      </c>
      <c r="C240" s="9" t="s">
        <v>151</v>
      </c>
      <c r="E240" t="s">
        <v>38</v>
      </c>
      <c r="F240" t="s">
        <v>27</v>
      </c>
      <c r="G240" t="str">
        <f>INDEX('User Inputs'!$G$3:$G$14,MATCH(1,'User Inputs'!$J$3:$J$14,0))</f>
        <v>2026M05</v>
      </c>
      <c r="H240" t="s">
        <v>29</v>
      </c>
      <c r="I240" t="s">
        <v>83</v>
      </c>
      <c r="J240" t="s">
        <v>41</v>
      </c>
      <c r="K240" t="s">
        <v>31</v>
      </c>
      <c r="L240" t="s">
        <v>32</v>
      </c>
      <c r="M240" t="s">
        <v>154</v>
      </c>
      <c r="N240" t="str">
        <f t="shared" si="4"/>
        <v>113_102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>
        <f>_xll.OneStreamExcelAddIn.XFFunctions.XFGetCell(A240,B240,C240,D240,E240,F240,G240,H240,I240,J240,K240,L240,M240,N240,O240,P240,Q240,R240,S240,T240)</f>
        <v>0</v>
      </c>
    </row>
    <row r="241" spans="1:21">
      <c r="A241" t="b">
        <v>1</v>
      </c>
      <c r="B241" t="s">
        <v>26</v>
      </c>
      <c r="C241" s="9" t="s">
        <v>151</v>
      </c>
      <c r="E241" t="s">
        <v>38</v>
      </c>
      <c r="F241" t="s">
        <v>27</v>
      </c>
      <c r="G241" t="str">
        <f>INDEX('User Inputs'!$G$3:$G$14,MATCH(1,'User Inputs'!$J$3:$J$14,0))</f>
        <v>2026M05</v>
      </c>
      <c r="H241" t="s">
        <v>29</v>
      </c>
      <c r="I241" t="s">
        <v>83</v>
      </c>
      <c r="J241" t="s">
        <v>41</v>
      </c>
      <c r="K241" t="s">
        <v>31</v>
      </c>
      <c r="L241" t="s">
        <v>32</v>
      </c>
      <c r="M241" t="s">
        <v>155</v>
      </c>
      <c r="N241" t="str">
        <f t="shared" si="4"/>
        <v>113_103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>
        <f>_xll.OneStreamExcelAddIn.XFFunctions.XFGetCell(A241,B241,C241,D241,E241,F241,G241,H241,I241,J241,K241,L241,M241,N241,O241,P241,Q241,R241,S241,T241)</f>
        <v>0</v>
      </c>
    </row>
    <row r="242" spans="1:21">
      <c r="A242" t="b">
        <v>1</v>
      </c>
      <c r="B242" t="s">
        <v>26</v>
      </c>
      <c r="C242" s="9" t="s">
        <v>151</v>
      </c>
      <c r="E242" t="s">
        <v>38</v>
      </c>
      <c r="F242" t="s">
        <v>27</v>
      </c>
      <c r="G242" t="str">
        <f>INDEX('User Inputs'!$G$3:$G$14,MATCH(1,'User Inputs'!$J$3:$J$14,0))</f>
        <v>2026M05</v>
      </c>
      <c r="H242" t="s">
        <v>29</v>
      </c>
      <c r="I242" t="s">
        <v>83</v>
      </c>
      <c r="J242" t="s">
        <v>41</v>
      </c>
      <c r="K242" t="s">
        <v>31</v>
      </c>
      <c r="L242" t="s">
        <v>32</v>
      </c>
      <c r="M242" t="s">
        <v>156</v>
      </c>
      <c r="N242" t="str">
        <f t="shared" si="4"/>
        <v>113_120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>
        <f>_xll.OneStreamExcelAddIn.XFFunctions.XFGetCell(A242,B242,C242,D242,E242,F242,G242,H242,I242,J242,K242,L242,M242,N242,O242,P242,Q242,R242,S242,T242)</f>
        <v>0</v>
      </c>
    </row>
    <row r="243" spans="1:21">
      <c r="A243" t="b">
        <v>1</v>
      </c>
      <c r="B243" t="s">
        <v>26</v>
      </c>
      <c r="C243" s="9" t="s">
        <v>151</v>
      </c>
      <c r="E243" t="s">
        <v>38</v>
      </c>
      <c r="F243" t="s">
        <v>27</v>
      </c>
      <c r="G243" t="str">
        <f>INDEX('User Inputs'!$G$3:$G$14,MATCH(1,'User Inputs'!$J$3:$J$14,0))</f>
        <v>2026M05</v>
      </c>
      <c r="H243" t="s">
        <v>29</v>
      </c>
      <c r="I243" t="s">
        <v>83</v>
      </c>
      <c r="J243" t="s">
        <v>41</v>
      </c>
      <c r="K243" t="s">
        <v>31</v>
      </c>
      <c r="L243" t="s">
        <v>32</v>
      </c>
      <c r="M243" t="s">
        <v>157</v>
      </c>
      <c r="N243" t="str">
        <f t="shared" si="4"/>
        <v>113_125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>
        <f>_xll.OneStreamExcelAddIn.XFFunctions.XFGetCell(A243,B243,C243,D243,E243,F243,G243,H243,I243,J243,K243,L243,M243,N243,O243,P243,Q243,R243,S243,T243)</f>
        <v>1409.57</v>
      </c>
    </row>
    <row r="244" spans="1:21">
      <c r="A244" t="b">
        <v>1</v>
      </c>
      <c r="B244" t="s">
        <v>26</v>
      </c>
      <c r="C244" s="9" t="s">
        <v>151</v>
      </c>
      <c r="E244" t="s">
        <v>38</v>
      </c>
      <c r="F244" t="s">
        <v>27</v>
      </c>
      <c r="G244" t="str">
        <f>INDEX('User Inputs'!$G$3:$G$14,MATCH(1,'User Inputs'!$J$3:$J$14,0))</f>
        <v>2026M05</v>
      </c>
      <c r="H244" t="s">
        <v>29</v>
      </c>
      <c r="I244" t="s">
        <v>83</v>
      </c>
      <c r="J244" t="s">
        <v>41</v>
      </c>
      <c r="K244" t="s">
        <v>31</v>
      </c>
      <c r="L244" t="s">
        <v>32</v>
      </c>
      <c r="M244" t="s">
        <v>158</v>
      </c>
      <c r="N244" t="str">
        <f t="shared" si="4"/>
        <v>113_130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>
        <f>_xll.OneStreamExcelAddIn.XFFunctions.XFGetCell(A244,B244,C244,D244,E244,F244,G244,H244,I244,J244,K244,L244,M244,N244,O244,P244,Q244,R244,S244,T244)</f>
        <v>0</v>
      </c>
    </row>
    <row r="245" spans="1:21">
      <c r="A245" t="b">
        <v>1</v>
      </c>
      <c r="B245" t="s">
        <v>26</v>
      </c>
      <c r="C245" s="9" t="s">
        <v>151</v>
      </c>
      <c r="E245" t="s">
        <v>38</v>
      </c>
      <c r="F245" t="s">
        <v>27</v>
      </c>
      <c r="G245" t="str">
        <f>INDEX('User Inputs'!$G$3:$G$14,MATCH(1,'User Inputs'!$J$3:$J$14,0))</f>
        <v>2026M05</v>
      </c>
      <c r="H245" t="s">
        <v>29</v>
      </c>
      <c r="I245" t="s">
        <v>83</v>
      </c>
      <c r="J245" t="s">
        <v>41</v>
      </c>
      <c r="K245" t="s">
        <v>31</v>
      </c>
      <c r="L245" t="s">
        <v>32</v>
      </c>
      <c r="M245" t="s">
        <v>159</v>
      </c>
      <c r="N245" t="str">
        <f t="shared" si="4"/>
        <v>113_131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>
        <f>_xll.OneStreamExcelAddIn.XFFunctions.XFGetCell(A245,B245,C245,D245,E245,F245,G245,H245,I245,J245,K245,L245,M245,N245,O245,P245,Q245,R245,S245,T245)</f>
        <v>0</v>
      </c>
    </row>
    <row r="246" spans="1:21">
      <c r="A246" t="b">
        <v>1</v>
      </c>
      <c r="B246" t="s">
        <v>26</v>
      </c>
      <c r="C246" s="9" t="s">
        <v>151</v>
      </c>
      <c r="E246" t="s">
        <v>38</v>
      </c>
      <c r="F246" t="s">
        <v>27</v>
      </c>
      <c r="G246" t="str">
        <f>INDEX('User Inputs'!$G$3:$G$14,MATCH(1,'User Inputs'!$J$3:$J$14,0))</f>
        <v>2026M05</v>
      </c>
      <c r="H246" t="s">
        <v>29</v>
      </c>
      <c r="I246" t="s">
        <v>83</v>
      </c>
      <c r="J246" t="s">
        <v>41</v>
      </c>
      <c r="K246" t="s">
        <v>31</v>
      </c>
      <c r="L246" t="s">
        <v>32</v>
      </c>
      <c r="M246" t="s">
        <v>160</v>
      </c>
      <c r="N246" t="str">
        <f t="shared" si="4"/>
        <v>113_135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>
        <f>_xll.OneStreamExcelAddIn.XFFunctions.XFGetCell(A246,B246,C246,D246,E246,F246,G246,H246,I246,J246,K246,L246,M246,N246,O246,P246,Q246,R246,S246,T246)</f>
        <v>-2244.38</v>
      </c>
    </row>
    <row r="247" spans="1:21">
      <c r="A247" t="b">
        <v>1</v>
      </c>
      <c r="B247" t="s">
        <v>26</v>
      </c>
      <c r="C247" s="9" t="s">
        <v>151</v>
      </c>
      <c r="E247" t="s">
        <v>38</v>
      </c>
      <c r="F247" t="s">
        <v>27</v>
      </c>
      <c r="G247" t="str">
        <f>INDEX('User Inputs'!$G$3:$G$14,MATCH(1,'User Inputs'!$J$3:$J$14,0))</f>
        <v>2026M05</v>
      </c>
      <c r="H247" t="s">
        <v>29</v>
      </c>
      <c r="I247" t="s">
        <v>83</v>
      </c>
      <c r="J247" t="s">
        <v>41</v>
      </c>
      <c r="K247" t="s">
        <v>31</v>
      </c>
      <c r="L247" t="s">
        <v>32</v>
      </c>
      <c r="M247" t="s">
        <v>161</v>
      </c>
      <c r="N247" t="str">
        <f t="shared" si="4"/>
        <v>113_115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>
        <f>_xll.OneStreamExcelAddIn.XFFunctions.XFGetCell(A247,B247,C247,D247,E247,F247,G247,H247,I247,J247,K247,L247,M247,N247,O247,P247,Q247,R247,S247,T247)</f>
        <v>125925.68</v>
      </c>
    </row>
    <row r="248" spans="1:21">
      <c r="A248" t="b">
        <v>1</v>
      </c>
      <c r="B248" t="s">
        <v>26</v>
      </c>
      <c r="C248" s="9" t="s">
        <v>151</v>
      </c>
      <c r="E248" t="s">
        <v>38</v>
      </c>
      <c r="F248" t="s">
        <v>27</v>
      </c>
      <c r="G248" t="str">
        <f>INDEX('User Inputs'!$G$3:$G$14,MATCH(1,'User Inputs'!$J$3:$J$14,0))</f>
        <v>2026M05</v>
      </c>
      <c r="H248" t="s">
        <v>29</v>
      </c>
      <c r="I248" t="s">
        <v>83</v>
      </c>
      <c r="J248" t="s">
        <v>41</v>
      </c>
      <c r="K248" t="s">
        <v>31</v>
      </c>
      <c r="L248" t="s">
        <v>32</v>
      </c>
      <c r="M248" t="s">
        <v>162</v>
      </c>
      <c r="N248" t="str">
        <f t="shared" si="4"/>
        <v>113_132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>
        <f>_xll.OneStreamExcelAddIn.XFFunctions.XFGetCell(A248,B248,C248,D248,E248,F248,G248,H248,I248,J248,K248,L248,M248,N248,O248,P248,Q248,R248,S248,T248)</f>
        <v>0</v>
      </c>
    </row>
    <row r="249" spans="1:21">
      <c r="A249" t="b">
        <v>1</v>
      </c>
      <c r="B249" t="s">
        <v>26</v>
      </c>
      <c r="C249" s="9" t="s">
        <v>163</v>
      </c>
      <c r="E249" t="s">
        <v>38</v>
      </c>
      <c r="F249" t="s">
        <v>27</v>
      </c>
      <c r="G249" t="str">
        <f>INDEX('User Inputs'!$G$3:$G$14,MATCH(1,'User Inputs'!$J$3:$J$14,0))</f>
        <v>2026M05</v>
      </c>
      <c r="H249" t="s">
        <v>29</v>
      </c>
      <c r="I249" t="s">
        <v>83</v>
      </c>
      <c r="J249" t="s">
        <v>41</v>
      </c>
      <c r="K249" t="s">
        <v>31</v>
      </c>
      <c r="L249" t="s">
        <v>32</v>
      </c>
      <c r="M249" t="s">
        <v>164</v>
      </c>
      <c r="N249" t="str">
        <f t="shared" si="4"/>
        <v>111_443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>
        <f>_xll.OneStreamExcelAddIn.XFFunctions.XFGetCell(A249,B249,C249,D249,E249,F249,G249,H249,I249,J249,K249,L249,M249,N249,O249,P249,Q249,R249,S249,T249)</f>
        <v>0</v>
      </c>
    </row>
    <row r="250" spans="1:21">
      <c r="A250" t="b">
        <v>1</v>
      </c>
      <c r="B250" t="s">
        <v>26</v>
      </c>
      <c r="C250" s="9" t="s">
        <v>163</v>
      </c>
      <c r="E250" t="s">
        <v>38</v>
      </c>
      <c r="F250" t="s">
        <v>27</v>
      </c>
      <c r="G250" t="str">
        <f>INDEX('User Inputs'!$G$3:$G$14,MATCH(1,'User Inputs'!$J$3:$J$14,0))</f>
        <v>2026M05</v>
      </c>
      <c r="H250" t="s">
        <v>29</v>
      </c>
      <c r="I250" t="s">
        <v>83</v>
      </c>
      <c r="J250" t="s">
        <v>41</v>
      </c>
      <c r="K250" t="s">
        <v>31</v>
      </c>
      <c r="L250" t="s">
        <v>32</v>
      </c>
      <c r="M250" t="s">
        <v>165</v>
      </c>
      <c r="N250" t="str">
        <f t="shared" si="4"/>
        <v>111_444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>
        <f>_xll.OneStreamExcelAddIn.XFFunctions.XFGetCell(A250,B250,C250,D250,E250,F250,G250,H250,I250,J250,K250,L250,M250,N250,O250,P250,Q250,R250,S250,T250)</f>
        <v>0</v>
      </c>
    </row>
    <row r="251" spans="1:21">
      <c r="A251" t="b">
        <v>1</v>
      </c>
      <c r="B251" t="s">
        <v>26</v>
      </c>
      <c r="C251" s="9" t="s">
        <v>166</v>
      </c>
      <c r="E251" t="s">
        <v>38</v>
      </c>
      <c r="F251" t="s">
        <v>27</v>
      </c>
      <c r="G251" t="str">
        <f>INDEX('User Inputs'!$G$3:$G$14,MATCH(1,'User Inputs'!$J$3:$J$14,0))</f>
        <v>2026M05</v>
      </c>
      <c r="H251" t="s">
        <v>29</v>
      </c>
      <c r="I251" t="s">
        <v>83</v>
      </c>
      <c r="J251" t="s">
        <v>41</v>
      </c>
      <c r="K251" t="s">
        <v>31</v>
      </c>
      <c r="L251" t="s">
        <v>32</v>
      </c>
      <c r="M251" t="s">
        <v>167</v>
      </c>
      <c r="N251" t="str">
        <f t="shared" si="4"/>
        <v>291_307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>
        <f>_xll.OneStreamExcelAddIn.XFFunctions.XFGetCell(A251,B251,C251,D251,E251,F251,G251,H251,I251,J251,K251,L251,M251,N251,O251,P251,Q251,R251,S251,T251)</f>
        <v>0</v>
      </c>
    </row>
    <row r="252" spans="1:21">
      <c r="A252" t="b">
        <v>1</v>
      </c>
      <c r="B252" t="s">
        <v>26</v>
      </c>
      <c r="C252" s="9" t="s">
        <v>168</v>
      </c>
      <c r="E252" t="s">
        <v>38</v>
      </c>
      <c r="F252" t="s">
        <v>27</v>
      </c>
      <c r="G252" t="str">
        <f>INDEX('User Inputs'!$G$3:$G$14,MATCH(1,'User Inputs'!$J$3:$J$14,0))</f>
        <v>2026M05</v>
      </c>
      <c r="H252" t="s">
        <v>29</v>
      </c>
      <c r="I252" t="s">
        <v>83</v>
      </c>
      <c r="J252" t="s">
        <v>41</v>
      </c>
      <c r="K252" t="s">
        <v>31</v>
      </c>
      <c r="L252" t="s">
        <v>32</v>
      </c>
      <c r="M252" t="s">
        <v>169</v>
      </c>
      <c r="N252" t="str">
        <f t="shared" si="4"/>
        <v>213_445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U252">
        <f>_xll.OneStreamExcelAddIn.XFFunctions.XFGetCell(A252,B252,C252,D252,E252,F252,G252,H252,I252,J252,K252,L252,M252,N252,O252,P252,Q252,R252,S252,T252)</f>
        <v>0</v>
      </c>
    </row>
    <row r="253" spans="1:21">
      <c r="A253" t="b">
        <v>1</v>
      </c>
      <c r="B253" t="s">
        <v>26</v>
      </c>
      <c r="C253" s="9" t="s">
        <v>168</v>
      </c>
      <c r="E253" t="s">
        <v>38</v>
      </c>
      <c r="F253" t="s">
        <v>27</v>
      </c>
      <c r="G253" t="str">
        <f>INDEX('User Inputs'!$G$3:$G$14,MATCH(1,'User Inputs'!$J$3:$J$14,0))</f>
        <v>2026M05</v>
      </c>
      <c r="H253" t="s">
        <v>29</v>
      </c>
      <c r="I253" t="s">
        <v>83</v>
      </c>
      <c r="J253" t="s">
        <v>41</v>
      </c>
      <c r="K253" t="s">
        <v>31</v>
      </c>
      <c r="L253" t="s">
        <v>32</v>
      </c>
      <c r="M253" t="s">
        <v>152</v>
      </c>
      <c r="N253" t="str">
        <f t="shared" si="4"/>
        <v>213_100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>
        <f>_xll.OneStreamExcelAddIn.XFFunctions.XFGetCell(A253,B253,C253,D253,E253,F253,G253,H253,I253,J253,K253,L253,M253,N253,O253,P253,Q253,R253,S253,T253)</f>
        <v>0</v>
      </c>
    </row>
    <row r="254" spans="1:21">
      <c r="A254" t="b">
        <v>1</v>
      </c>
      <c r="B254" t="s">
        <v>26</v>
      </c>
      <c r="C254" s="9" t="s">
        <v>168</v>
      </c>
      <c r="E254" t="s">
        <v>38</v>
      </c>
      <c r="F254" t="s">
        <v>27</v>
      </c>
      <c r="G254" t="str">
        <f>INDEX('User Inputs'!$G$3:$G$14,MATCH(1,'User Inputs'!$J$3:$J$14,0))</f>
        <v>2026M05</v>
      </c>
      <c r="H254" t="s">
        <v>29</v>
      </c>
      <c r="I254" t="s">
        <v>83</v>
      </c>
      <c r="J254" t="s">
        <v>41</v>
      </c>
      <c r="K254" t="s">
        <v>31</v>
      </c>
      <c r="L254" t="s">
        <v>32</v>
      </c>
      <c r="M254" t="s">
        <v>156</v>
      </c>
      <c r="N254" t="str">
        <f t="shared" si="4"/>
        <v>213_120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>
        <f>_xll.OneStreamExcelAddIn.XFFunctions.XFGetCell(A254,B254,C254,D254,E254,F254,G254,H254,I254,J254,K254,L254,M254,N254,O254,P254,Q254,R254,S254,T254)</f>
        <v>0</v>
      </c>
    </row>
    <row r="255" spans="1:21">
      <c r="A255" t="b">
        <v>1</v>
      </c>
      <c r="B255" t="s">
        <v>26</v>
      </c>
      <c r="C255" s="9" t="s">
        <v>163</v>
      </c>
      <c r="E255" t="s">
        <v>38</v>
      </c>
      <c r="F255" t="s">
        <v>27</v>
      </c>
      <c r="G255" t="str">
        <f>INDEX('User Inputs'!$G$3:$G$14,MATCH(1,'User Inputs'!$J$3:$J$14,0))</f>
        <v>2026M05</v>
      </c>
      <c r="H255" t="s">
        <v>29</v>
      </c>
      <c r="I255" t="s">
        <v>83</v>
      </c>
      <c r="J255" t="s">
        <v>41</v>
      </c>
      <c r="K255" t="s">
        <v>31</v>
      </c>
      <c r="L255" t="s">
        <v>32</v>
      </c>
      <c r="M255" t="s">
        <v>170</v>
      </c>
      <c r="N255" t="str">
        <f t="shared" si="4"/>
        <v>111_449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>
        <f>_xll.OneStreamExcelAddIn.XFFunctions.XFGetCell(A255,B255,C255,D255,E255,F255,G255,H255,I255,J255,K255,L255,M255,N255,O255,P255,Q255,R255,S255,T255)</f>
        <v>0</v>
      </c>
    </row>
    <row r="256" spans="1:21">
      <c r="A256" t="b">
        <v>1</v>
      </c>
      <c r="B256" t="s">
        <v>26</v>
      </c>
      <c r="C256" s="9" t="s">
        <v>163</v>
      </c>
      <c r="E256" t="s">
        <v>38</v>
      </c>
      <c r="F256" t="s">
        <v>27</v>
      </c>
      <c r="G256" t="str">
        <f>INDEX('User Inputs'!$G$3:$G$14,MATCH(1,'User Inputs'!$J$3:$J$14,0))</f>
        <v>2026M05</v>
      </c>
      <c r="H256" t="s">
        <v>29</v>
      </c>
      <c r="I256" t="s">
        <v>83</v>
      </c>
      <c r="J256" t="s">
        <v>41</v>
      </c>
      <c r="K256" t="s">
        <v>31</v>
      </c>
      <c r="L256" t="s">
        <v>32</v>
      </c>
      <c r="M256" t="s">
        <v>158</v>
      </c>
      <c r="N256" t="str">
        <f t="shared" si="4"/>
        <v>111_130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>
        <f>_xll.OneStreamExcelAddIn.XFFunctions.XFGetCell(A256,B256,C256,D256,E256,F256,G256,H256,I256,J256,K256,L256,M256,N256,O256,P256,Q256,R256,S256,T256)</f>
        <v>168531.15</v>
      </c>
    </row>
    <row r="257" spans="1:21">
      <c r="A257" t="b">
        <v>1</v>
      </c>
      <c r="B257" t="s">
        <v>26</v>
      </c>
      <c r="C257" s="9" t="s">
        <v>168</v>
      </c>
      <c r="E257" t="s">
        <v>38</v>
      </c>
      <c r="F257" t="s">
        <v>27</v>
      </c>
      <c r="G257" t="str">
        <f>INDEX('User Inputs'!$G$3:$G$14,MATCH(1,'User Inputs'!$J$3:$J$14,0))</f>
        <v>2026M05</v>
      </c>
      <c r="H257" t="s">
        <v>29</v>
      </c>
      <c r="I257" t="s">
        <v>83</v>
      </c>
      <c r="J257" t="s">
        <v>41</v>
      </c>
      <c r="K257" t="s">
        <v>31</v>
      </c>
      <c r="L257" t="s">
        <v>32</v>
      </c>
      <c r="M257" t="s">
        <v>158</v>
      </c>
      <c r="N257" t="str">
        <f t="shared" si="4"/>
        <v>213_130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>
        <f>_xll.OneStreamExcelAddIn.XFFunctions.XFGetCell(A257,B257,C257,D257,E257,F257,G257,H257,I257,J257,K257,L257,M257,N257,O257,P257,Q257,R257,S257,T257)</f>
        <v>780</v>
      </c>
    </row>
    <row r="258" spans="1:21">
      <c r="A258" t="b">
        <v>1</v>
      </c>
      <c r="B258" t="s">
        <v>26</v>
      </c>
      <c r="C258" s="9" t="s">
        <v>163</v>
      </c>
      <c r="E258" t="s">
        <v>38</v>
      </c>
      <c r="F258" t="s">
        <v>27</v>
      </c>
      <c r="G258" t="str">
        <f>INDEX('User Inputs'!$G$3:$G$14,MATCH(1,'User Inputs'!$J$3:$J$14,0))</f>
        <v>2026M05</v>
      </c>
      <c r="H258" t="s">
        <v>29</v>
      </c>
      <c r="I258" t="s">
        <v>83</v>
      </c>
      <c r="J258" t="s">
        <v>41</v>
      </c>
      <c r="K258" t="s">
        <v>31</v>
      </c>
      <c r="L258" t="s">
        <v>32</v>
      </c>
      <c r="M258" t="s">
        <v>171</v>
      </c>
      <c r="N258" t="str">
        <f t="shared" si="4"/>
        <v>111_450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>
        <f>_xll.OneStreamExcelAddIn.XFFunctions.XFGetCell(A258,B258,C258,D258,E258,F258,G258,H258,I258,J258,K258,L258,M258,N258,O258,P258,Q258,R258,S258,T258)</f>
        <v>0</v>
      </c>
    </row>
    <row r="259" spans="1:21">
      <c r="A259" t="b">
        <v>1</v>
      </c>
      <c r="B259" t="s">
        <v>26</v>
      </c>
      <c r="C259" s="9" t="s">
        <v>151</v>
      </c>
      <c r="E259" t="s">
        <v>38</v>
      </c>
      <c r="F259" t="s">
        <v>27</v>
      </c>
      <c r="G259" t="str">
        <f>INDEX('User Inputs'!$G$3:$G$14,MATCH(1,'User Inputs'!$J$3:$J$14,0))</f>
        <v>2026M05</v>
      </c>
      <c r="H259" t="s">
        <v>29</v>
      </c>
      <c r="I259" t="s">
        <v>83</v>
      </c>
      <c r="J259" t="s">
        <v>41</v>
      </c>
      <c r="K259" t="s">
        <v>31</v>
      </c>
      <c r="L259" t="s">
        <v>32</v>
      </c>
      <c r="M259" t="s">
        <v>172</v>
      </c>
      <c r="N259" t="str">
        <f t="shared" si="4"/>
        <v>113_104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>
        <f>_xll.OneStreamExcelAddIn.XFFunctions.XFGetCell(A259,B259,C259,D259,E259,F259,G259,H259,I259,J259,K259,L259,M259,N259,O259,P259,Q259,R259,S259,T259)</f>
        <v>0</v>
      </c>
    </row>
    <row r="260" spans="1:21">
      <c r="A260" t="b">
        <v>1</v>
      </c>
      <c r="B260" t="s">
        <v>26</v>
      </c>
      <c r="C260" s="9" t="s">
        <v>151</v>
      </c>
      <c r="E260" t="s">
        <v>38</v>
      </c>
      <c r="F260" t="s">
        <v>27</v>
      </c>
      <c r="G260" t="str">
        <f>INDEX('User Inputs'!$G$3:$G$14,MATCH(1,'User Inputs'!$J$3:$J$14,0))</f>
        <v>2026M05</v>
      </c>
      <c r="H260" t="s">
        <v>29</v>
      </c>
      <c r="I260" t="s">
        <v>83</v>
      </c>
      <c r="J260" t="s">
        <v>41</v>
      </c>
      <c r="K260" t="s">
        <v>31</v>
      </c>
      <c r="L260" t="s">
        <v>32</v>
      </c>
      <c r="M260" t="s">
        <v>173</v>
      </c>
      <c r="N260" t="str">
        <f t="shared" si="4"/>
        <v>113_123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>
        <f>_xll.OneStreamExcelAddIn.XFFunctions.XFGetCell(A260,B260,C260,D260,E260,F260,G260,H260,I260,J260,K260,L260,M260,N260,O260,P260,Q260,R260,S260,T260)</f>
        <v>0</v>
      </c>
    </row>
    <row r="261" spans="1:21">
      <c r="A261" t="b">
        <v>1</v>
      </c>
      <c r="B261" t="s">
        <v>26</v>
      </c>
      <c r="C261" s="9" t="s">
        <v>174</v>
      </c>
      <c r="E261" t="s">
        <v>38</v>
      </c>
      <c r="F261" t="s">
        <v>27</v>
      </c>
      <c r="G261" t="str">
        <f>INDEX('User Inputs'!$G$3:$G$14,MATCH(1,'User Inputs'!$J$3:$J$14,0))</f>
        <v>2026M05</v>
      </c>
      <c r="H261" t="s">
        <v>29</v>
      </c>
      <c r="I261" t="s">
        <v>83</v>
      </c>
      <c r="J261" t="s">
        <v>41</v>
      </c>
      <c r="K261" t="s">
        <v>31</v>
      </c>
      <c r="L261" t="s">
        <v>32</v>
      </c>
      <c r="M261" t="s">
        <v>175</v>
      </c>
      <c r="N261" t="str">
        <f t="shared" si="4"/>
        <v>900_950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>
        <f>_xll.OneStreamExcelAddIn.XFFunctions.XFGetCell(A261,B261,C261,D261,E261,F261,G261,H261,I261,J261,K261,L261,M261,N261,O261,P261,Q261,R261,S261,T261)</f>
        <v>-87577.43</v>
      </c>
    </row>
    <row r="262" spans="1:21">
      <c r="A262" t="b">
        <v>1</v>
      </c>
      <c r="B262" t="s">
        <v>26</v>
      </c>
      <c r="C262" s="9" t="s">
        <v>176</v>
      </c>
      <c r="E262" t="s">
        <v>38</v>
      </c>
      <c r="F262" t="s">
        <v>27</v>
      </c>
      <c r="G262" t="str">
        <f>INDEX('User Inputs'!$G$3:$G$14,MATCH(1,'User Inputs'!$J$3:$J$14,0))</f>
        <v>2026M05</v>
      </c>
      <c r="H262" t="s">
        <v>29</v>
      </c>
      <c r="I262" t="s">
        <v>83</v>
      </c>
      <c r="J262" t="s">
        <v>41</v>
      </c>
      <c r="K262" t="s">
        <v>31</v>
      </c>
      <c r="L262" t="s">
        <v>32</v>
      </c>
      <c r="M262" t="s">
        <v>175</v>
      </c>
      <c r="N262" t="str">
        <f t="shared" si="4"/>
        <v>905_950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>
        <f>_xll.OneStreamExcelAddIn.XFFunctions.XFGetCell(A262,B262,C262,D262,E262,F262,G262,H262,I262,J262,K262,L262,M262,N262,O262,P262,Q262,R262,S262,T262)</f>
        <v>0</v>
      </c>
    </row>
    <row r="263" spans="1:21">
      <c r="A263" t="b">
        <v>1</v>
      </c>
      <c r="B263" t="s">
        <v>26</v>
      </c>
      <c r="C263" t="s">
        <v>179</v>
      </c>
      <c r="E263" t="s">
        <v>38</v>
      </c>
      <c r="F263" t="s">
        <v>27</v>
      </c>
      <c r="G263" t="str">
        <f>INDEX('User Inputs'!$G$3:$G$14,MATCH(1,'User Inputs'!$J$3:$J$14,0))</f>
        <v>2026M05</v>
      </c>
      <c r="H263" t="s">
        <v>29</v>
      </c>
      <c r="I263" t="s">
        <v>83</v>
      </c>
      <c r="J263" t="s">
        <v>41</v>
      </c>
      <c r="K263" t="s">
        <v>31</v>
      </c>
      <c r="L263" t="s">
        <v>32</v>
      </c>
      <c r="M263" t="s">
        <v>181</v>
      </c>
      <c r="N263" t="str">
        <f t="shared" ref="N263:N270" si="5">_xlfn.CONCAT(C263,"_",M263)</f>
        <v>186_520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>
        <f>_xll.OneStreamExcelAddIn.XFFunctions.XFGetCell(A263,B263,C263,D263,E263,F263,G263,H263,I263,J263,K263,L263,M263,N263,O263,P263,Q263,R263,S263,T263)</f>
        <v>0</v>
      </c>
    </row>
    <row r="264" spans="1:21">
      <c r="A264" t="b">
        <v>1</v>
      </c>
      <c r="B264" t="s">
        <v>26</v>
      </c>
      <c r="C264" t="s">
        <v>163</v>
      </c>
      <c r="E264" t="s">
        <v>38</v>
      </c>
      <c r="F264" t="s">
        <v>27</v>
      </c>
      <c r="G264" t="str">
        <f>INDEX('User Inputs'!$G$3:$G$14,MATCH(1,'User Inputs'!$J$3:$J$14,0))</f>
        <v>2026M05</v>
      </c>
      <c r="H264" t="s">
        <v>29</v>
      </c>
      <c r="I264" t="s">
        <v>83</v>
      </c>
      <c r="J264" t="s">
        <v>41</v>
      </c>
      <c r="K264" t="s">
        <v>31</v>
      </c>
      <c r="L264" t="s">
        <v>32</v>
      </c>
      <c r="M264" t="s">
        <v>182</v>
      </c>
      <c r="N264" t="str">
        <f t="shared" si="5"/>
        <v>111_380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>
        <f>_xll.OneStreamExcelAddIn.XFFunctions.XFGetCell(A264,B264,C264,D264,E264,F264,G264,H264,I264,J264,K264,L264,M264,N264,O264,P264,Q264,R264,S264,T264)</f>
        <v>0</v>
      </c>
    </row>
    <row r="265" spans="1:21">
      <c r="A265" t="b">
        <v>1</v>
      </c>
      <c r="B265" t="s">
        <v>26</v>
      </c>
      <c r="C265" t="s">
        <v>180</v>
      </c>
      <c r="E265" t="s">
        <v>38</v>
      </c>
      <c r="F265" t="s">
        <v>27</v>
      </c>
      <c r="G265" t="str">
        <f>INDEX('User Inputs'!$G$3:$G$14,MATCH(1,'User Inputs'!$J$3:$J$14,0))</f>
        <v>2026M05</v>
      </c>
      <c r="H265" t="s">
        <v>29</v>
      </c>
      <c r="I265" t="s">
        <v>83</v>
      </c>
      <c r="J265" t="s">
        <v>41</v>
      </c>
      <c r="K265" t="s">
        <v>31</v>
      </c>
      <c r="L265" t="s">
        <v>32</v>
      </c>
      <c r="M265" t="s">
        <v>182</v>
      </c>
      <c r="N265" t="str">
        <f t="shared" si="5"/>
        <v>290_380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>
        <f>_xll.OneStreamExcelAddIn.XFFunctions.XFGetCell(A265,B265,C265,D265,E265,F265,G265,H265,I265,J265,K265,L265,M265,N265,O265,P265,Q265,R265,S265,T265)</f>
        <v>0</v>
      </c>
    </row>
    <row r="266" spans="1:21">
      <c r="A266" t="b">
        <v>1</v>
      </c>
      <c r="B266" t="s">
        <v>26</v>
      </c>
      <c r="C266" t="s">
        <v>163</v>
      </c>
      <c r="E266" t="s">
        <v>38</v>
      </c>
      <c r="F266" t="s">
        <v>27</v>
      </c>
      <c r="G266" t="str">
        <f>INDEX('User Inputs'!$G$3:$G$14,MATCH(1,'User Inputs'!$J$3:$J$14,0))</f>
        <v>2026M05</v>
      </c>
      <c r="H266" t="s">
        <v>29</v>
      </c>
      <c r="I266" t="s">
        <v>83</v>
      </c>
      <c r="J266" t="s">
        <v>41</v>
      </c>
      <c r="K266" t="s">
        <v>31</v>
      </c>
      <c r="L266" t="s">
        <v>32</v>
      </c>
      <c r="M266" t="s">
        <v>183</v>
      </c>
      <c r="N266" t="str">
        <f t="shared" si="5"/>
        <v>111_105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>
        <f>_xll.OneStreamExcelAddIn.XFFunctions.XFGetCell(A266,B266,C266,D266,E266,F266,G266,H266,I266,J266,K266,L266,M266,N266,O266,P266,Q266,R266,S266,T266)</f>
        <v>0</v>
      </c>
    </row>
    <row r="267" spans="1:21">
      <c r="A267" t="b">
        <v>1</v>
      </c>
      <c r="B267" t="s">
        <v>26</v>
      </c>
      <c r="C267" t="s">
        <v>163</v>
      </c>
      <c r="E267" t="s">
        <v>38</v>
      </c>
      <c r="F267" t="s">
        <v>27</v>
      </c>
      <c r="G267" t="str">
        <f>INDEX('User Inputs'!$G$3:$G$14,MATCH(1,'User Inputs'!$J$3:$J$14,0))</f>
        <v>2026M05</v>
      </c>
      <c r="H267" t="s">
        <v>29</v>
      </c>
      <c r="I267" t="s">
        <v>83</v>
      </c>
      <c r="J267" t="s">
        <v>41</v>
      </c>
      <c r="K267" t="s">
        <v>31</v>
      </c>
      <c r="L267" t="s">
        <v>32</v>
      </c>
      <c r="M267" t="s">
        <v>184</v>
      </c>
      <c r="N267" t="str">
        <f t="shared" si="5"/>
        <v>111_304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>
        <f>_xll.OneStreamExcelAddIn.XFFunctions.XFGetCell(A267,B267,C267,D267,E267,F267,G267,H267,I267,J267,K267,L267,M267,N267,O267,P267,Q267,R267,S267,T267)</f>
        <v>0</v>
      </c>
    </row>
    <row r="268" spans="1:21">
      <c r="A268" t="b">
        <v>1</v>
      </c>
      <c r="B268" t="s">
        <v>26</v>
      </c>
      <c r="C268" t="s">
        <v>151</v>
      </c>
      <c r="E268" t="s">
        <v>38</v>
      </c>
      <c r="F268" t="s">
        <v>27</v>
      </c>
      <c r="G268" t="str">
        <f>INDEX('User Inputs'!$G$3:$G$14,MATCH(1,'User Inputs'!$J$3:$J$14,0))</f>
        <v>2026M05</v>
      </c>
      <c r="H268" t="s">
        <v>29</v>
      </c>
      <c r="I268" t="s">
        <v>83</v>
      </c>
      <c r="J268" t="s">
        <v>41</v>
      </c>
      <c r="K268" t="s">
        <v>31</v>
      </c>
      <c r="L268" t="s">
        <v>32</v>
      </c>
      <c r="M268" t="s">
        <v>185</v>
      </c>
      <c r="N268" t="str">
        <f t="shared" si="5"/>
        <v>113_501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>
        <f>_xll.OneStreamExcelAddIn.XFFunctions.XFGetCell(A268,B268,C268,D268,E268,F268,G268,H268,I268,J268,K268,L268,M268,N268,O268,P268,Q268,R268,S268,T268)</f>
        <v>0</v>
      </c>
    </row>
    <row r="269" spans="1:21">
      <c r="A269" t="b">
        <v>1</v>
      </c>
      <c r="B269" t="s">
        <v>26</v>
      </c>
      <c r="C269" t="s">
        <v>151</v>
      </c>
      <c r="E269" t="s">
        <v>38</v>
      </c>
      <c r="F269" t="s">
        <v>27</v>
      </c>
      <c r="G269" t="str">
        <f>INDEX('User Inputs'!$G$3:$G$14,MATCH(1,'User Inputs'!$J$3:$J$14,0))</f>
        <v>2026M05</v>
      </c>
      <c r="H269" t="s">
        <v>29</v>
      </c>
      <c r="I269" t="s">
        <v>83</v>
      </c>
      <c r="J269" t="s">
        <v>41</v>
      </c>
      <c r="K269" t="s">
        <v>31</v>
      </c>
      <c r="L269" t="s">
        <v>32</v>
      </c>
      <c r="M269" t="s">
        <v>186</v>
      </c>
      <c r="N269" t="str">
        <f t="shared" si="5"/>
        <v>113_500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>
        <f>_xll.OneStreamExcelAddIn.XFFunctions.XFGetCell(A269,B269,C269,D269,E269,F269,G269,H269,I269,J269,K269,L269,M269,N269,O269,P269,Q269,R269,S269,T269)</f>
        <v>0</v>
      </c>
    </row>
    <row r="270" spans="1:21">
      <c r="A270" t="b">
        <v>1</v>
      </c>
      <c r="B270" t="s">
        <v>26</v>
      </c>
      <c r="C270" t="s">
        <v>151</v>
      </c>
      <c r="E270" t="s">
        <v>38</v>
      </c>
      <c r="F270" t="s">
        <v>27</v>
      </c>
      <c r="G270" t="str">
        <f>INDEX('User Inputs'!$G$3:$G$14,MATCH(1,'User Inputs'!$J$3:$J$14,0))</f>
        <v>2026M05</v>
      </c>
      <c r="H270" t="s">
        <v>29</v>
      </c>
      <c r="I270" t="s">
        <v>83</v>
      </c>
      <c r="J270" t="s">
        <v>41</v>
      </c>
      <c r="K270" t="s">
        <v>31</v>
      </c>
      <c r="L270" t="s">
        <v>32</v>
      </c>
      <c r="M270" t="s">
        <v>187</v>
      </c>
      <c r="N270" t="str">
        <f t="shared" si="5"/>
        <v>113_525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>
        <f>_xll.OneStreamExcelAddIn.XFFunctions.XFGetCell(A270,B270,C270,D270,E270,F270,G270,H270,I270,J270,K270,L270,M270,N270,O270,P270,Q270,R270,S270,T270)</f>
        <v>0</v>
      </c>
    </row>
    <row r="271" spans="1:21">
      <c r="A271" t="b">
        <v>1</v>
      </c>
      <c r="B271" t="s">
        <v>26</v>
      </c>
      <c r="C271" t="s">
        <v>151</v>
      </c>
      <c r="E271" t="s">
        <v>38</v>
      </c>
      <c r="F271" t="s">
        <v>27</v>
      </c>
      <c r="G271" t="str">
        <f>INDEX('User Inputs'!$G$3:$G$14,MATCH(1,'User Inputs'!$J$3:$J$14,0))</f>
        <v>2026M05</v>
      </c>
      <c r="H271" t="s">
        <v>29</v>
      </c>
      <c r="I271" t="s">
        <v>83</v>
      </c>
      <c r="J271" t="s">
        <v>41</v>
      </c>
      <c r="K271" t="s">
        <v>31</v>
      </c>
      <c r="L271" t="s">
        <v>32</v>
      </c>
      <c r="M271" t="s">
        <v>193</v>
      </c>
      <c r="N271" t="str">
        <f t="shared" ref="N271:N299" si="6">_xlfn.CONCAT(C271,"_",M271)</f>
        <v>113_110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>
        <f>_xll.OneStreamExcelAddIn.XFFunctions.XFGetCell(A271,B271,C271,D271,E271,F271,G271,H271,I271,J271,K271,L271,M271,N271,O271,P271,Q271,R271,S271,T271)</f>
        <v>0</v>
      </c>
    </row>
    <row r="272" spans="1:21">
      <c r="A272" t="b">
        <v>1</v>
      </c>
      <c r="B272" t="s">
        <v>26</v>
      </c>
      <c r="C272" t="s">
        <v>163</v>
      </c>
      <c r="E272" t="s">
        <v>38</v>
      </c>
      <c r="F272" t="s">
        <v>27</v>
      </c>
      <c r="G272" t="str">
        <f>INDEX('User Inputs'!$G$3:$G$14,MATCH(1,'User Inputs'!$J$3:$J$14,0))</f>
        <v>2026M05</v>
      </c>
      <c r="H272" t="s">
        <v>29</v>
      </c>
      <c r="I272" t="s">
        <v>83</v>
      </c>
      <c r="J272" t="s">
        <v>41</v>
      </c>
      <c r="K272" t="s">
        <v>31</v>
      </c>
      <c r="L272" t="s">
        <v>32</v>
      </c>
      <c r="M272" t="s">
        <v>194</v>
      </c>
      <c r="N272" t="str">
        <f t="shared" si="6"/>
        <v>111_175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f>_xll.OneStreamExcelAddIn.XFFunctions.XFGetCell(A272,B272,C272,D272,E272,F272,G272,H272,I272,J272,K272,L272,M272,N272,O272,P272,Q272,R272,S272,T272)</f>
        <v>142.28</v>
      </c>
    </row>
    <row r="273" spans="1:21">
      <c r="A273" t="b">
        <v>1</v>
      </c>
      <c r="B273" t="s">
        <v>26</v>
      </c>
      <c r="C273" t="s">
        <v>151</v>
      </c>
      <c r="E273" t="s">
        <v>38</v>
      </c>
      <c r="F273" t="s">
        <v>27</v>
      </c>
      <c r="G273" t="str">
        <f>INDEX('User Inputs'!$G$3:$G$14,MATCH(1,'User Inputs'!$J$3:$J$14,0))</f>
        <v>2026M05</v>
      </c>
      <c r="H273" t="s">
        <v>29</v>
      </c>
      <c r="I273" t="s">
        <v>83</v>
      </c>
      <c r="J273" t="s">
        <v>41</v>
      </c>
      <c r="K273" t="s">
        <v>31</v>
      </c>
      <c r="L273" t="s">
        <v>32</v>
      </c>
      <c r="M273" t="s">
        <v>195</v>
      </c>
      <c r="N273" t="str">
        <f t="shared" si="6"/>
        <v>113_513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>
        <f>_xll.OneStreamExcelAddIn.XFFunctions.XFGetCell(A273,B273,C273,D273,E273,F273,G273,H273,I273,J273,K273,L273,M273,N273,O273,P273,Q273,R273,S273,T273)</f>
        <v>0</v>
      </c>
    </row>
    <row r="274" spans="1:21">
      <c r="A274" t="b">
        <v>1</v>
      </c>
      <c r="B274" t="s">
        <v>26</v>
      </c>
      <c r="C274" t="s">
        <v>151</v>
      </c>
      <c r="E274" t="s">
        <v>38</v>
      </c>
      <c r="F274" t="s">
        <v>27</v>
      </c>
      <c r="G274" t="str">
        <f>INDEX('User Inputs'!$G$3:$G$14,MATCH(1,'User Inputs'!$J$3:$J$14,0))</f>
        <v>2026M05</v>
      </c>
      <c r="H274" t="s">
        <v>29</v>
      </c>
      <c r="I274" t="s">
        <v>83</v>
      </c>
      <c r="J274" t="s">
        <v>41</v>
      </c>
      <c r="K274" t="s">
        <v>31</v>
      </c>
      <c r="L274" t="s">
        <v>32</v>
      </c>
      <c r="M274" t="s">
        <v>196</v>
      </c>
      <c r="N274" t="str">
        <f t="shared" si="6"/>
        <v>113_519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>
        <f>_xll.OneStreamExcelAddIn.XFFunctions.XFGetCell(A274,B274,C274,D274,E274,F274,G274,H274,I274,J274,K274,L274,M274,N274,O274,P274,Q274,R274,S274,T274)</f>
        <v>0</v>
      </c>
    </row>
    <row r="275" spans="1:21">
      <c r="A275" t="b">
        <v>1</v>
      </c>
      <c r="B275" t="s">
        <v>26</v>
      </c>
      <c r="C275" t="s">
        <v>151</v>
      </c>
      <c r="E275" t="s">
        <v>38</v>
      </c>
      <c r="F275" t="s">
        <v>27</v>
      </c>
      <c r="G275" t="str">
        <f>INDEX('User Inputs'!$G$3:$G$14,MATCH(1,'User Inputs'!$J$3:$J$14,0))</f>
        <v>2026M05</v>
      </c>
      <c r="H275" t="s">
        <v>29</v>
      </c>
      <c r="I275" t="s">
        <v>83</v>
      </c>
      <c r="J275" t="s">
        <v>41</v>
      </c>
      <c r="K275" t="s">
        <v>31</v>
      </c>
      <c r="L275" t="s">
        <v>32</v>
      </c>
      <c r="M275" t="s">
        <v>197</v>
      </c>
      <c r="N275" t="str">
        <f t="shared" si="6"/>
        <v>113_515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>
        <f>_xll.OneStreamExcelAddIn.XFFunctions.XFGetCell(A275,B275,C275,D275,E275,F275,G275,H275,I275,J275,K275,L275,M275,N275,O275,P275,Q275,R275,S275,T275)</f>
        <v>0</v>
      </c>
    </row>
    <row r="276" spans="1:21">
      <c r="A276" t="b">
        <v>1</v>
      </c>
      <c r="B276" t="s">
        <v>26</v>
      </c>
      <c r="C276" t="s">
        <v>151</v>
      </c>
      <c r="E276" t="s">
        <v>38</v>
      </c>
      <c r="F276" t="s">
        <v>27</v>
      </c>
      <c r="G276" t="str">
        <f>INDEX('User Inputs'!$G$3:$G$14,MATCH(1,'User Inputs'!$J$3:$J$14,0))</f>
        <v>2026M05</v>
      </c>
      <c r="H276" t="s">
        <v>29</v>
      </c>
      <c r="I276" t="s">
        <v>83</v>
      </c>
      <c r="J276" t="s">
        <v>41</v>
      </c>
      <c r="K276" t="s">
        <v>31</v>
      </c>
      <c r="L276" t="s">
        <v>32</v>
      </c>
      <c r="M276" t="s">
        <v>198</v>
      </c>
      <c r="N276" t="str">
        <f t="shared" si="6"/>
        <v>113_510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>
        <f>_xll.OneStreamExcelAddIn.XFFunctions.XFGetCell(A276,B276,C276,D276,E276,F276,G276,H276,I276,J276,K276,L276,M276,N276,O276,P276,Q276,R276,S276,T276)</f>
        <v>5000</v>
      </c>
    </row>
    <row r="277" spans="1:21">
      <c r="A277" t="b">
        <v>1</v>
      </c>
      <c r="B277" t="s">
        <v>26</v>
      </c>
      <c r="C277" t="s">
        <v>151</v>
      </c>
      <c r="E277" t="s">
        <v>38</v>
      </c>
      <c r="F277" t="s">
        <v>27</v>
      </c>
      <c r="G277" t="str">
        <f>INDEX('User Inputs'!$G$3:$G$14,MATCH(1,'User Inputs'!$J$3:$J$14,0))</f>
        <v>2026M05</v>
      </c>
      <c r="H277" t="s">
        <v>29</v>
      </c>
      <c r="I277" t="s">
        <v>83</v>
      </c>
      <c r="J277" t="s">
        <v>41</v>
      </c>
      <c r="K277" t="s">
        <v>31</v>
      </c>
      <c r="L277" t="s">
        <v>32</v>
      </c>
      <c r="M277" t="s">
        <v>199</v>
      </c>
      <c r="N277" t="str">
        <f t="shared" si="6"/>
        <v>113_518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>
        <f>_xll.OneStreamExcelAddIn.XFFunctions.XFGetCell(A277,B277,C277,D277,E277,F277,G277,H277,I277,J277,K277,L277,M277,N277,O277,P277,Q277,R277,S277,T277)</f>
        <v>0</v>
      </c>
    </row>
    <row r="278" spans="1:21">
      <c r="A278" t="b">
        <v>1</v>
      </c>
      <c r="B278" t="s">
        <v>26</v>
      </c>
      <c r="C278" t="s">
        <v>163</v>
      </c>
      <c r="E278" t="s">
        <v>38</v>
      </c>
      <c r="F278" t="s">
        <v>27</v>
      </c>
      <c r="G278" t="str">
        <f>INDEX('User Inputs'!$G$3:$G$14,MATCH(1,'User Inputs'!$J$3:$J$14,0))</f>
        <v>2026M05</v>
      </c>
      <c r="H278" t="s">
        <v>29</v>
      </c>
      <c r="I278" t="s">
        <v>83</v>
      </c>
      <c r="J278" t="s">
        <v>41</v>
      </c>
      <c r="K278" t="s">
        <v>31</v>
      </c>
      <c r="L278" t="s">
        <v>32</v>
      </c>
      <c r="M278" t="s">
        <v>167</v>
      </c>
      <c r="N278" t="str">
        <f t="shared" si="6"/>
        <v>111_307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>
        <f>_xll.OneStreamExcelAddIn.XFFunctions.XFGetCell(A278,B278,C278,D278,E278,F278,G278,H278,I278,J278,K278,L278,M278,N278,O278,P278,Q278,R278,S278,T278)</f>
        <v>0</v>
      </c>
    </row>
    <row r="279" spans="1:21">
      <c r="A279" t="b">
        <v>1</v>
      </c>
      <c r="B279" t="s">
        <v>26</v>
      </c>
      <c r="C279" t="s">
        <v>151</v>
      </c>
      <c r="E279" t="s">
        <v>38</v>
      </c>
      <c r="F279" t="s">
        <v>27</v>
      </c>
      <c r="G279" t="str">
        <f>INDEX('User Inputs'!$G$3:$G$14,MATCH(1,'User Inputs'!$J$3:$J$14,0))</f>
        <v>2026M05</v>
      </c>
      <c r="H279" t="s">
        <v>29</v>
      </c>
      <c r="I279" t="s">
        <v>83</v>
      </c>
      <c r="J279" t="s">
        <v>41</v>
      </c>
      <c r="K279" t="s">
        <v>31</v>
      </c>
      <c r="L279" t="s">
        <v>32</v>
      </c>
      <c r="M279" t="s">
        <v>200</v>
      </c>
      <c r="N279" t="str">
        <f t="shared" si="6"/>
        <v>113_517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>
        <f>_xll.OneStreamExcelAddIn.XFFunctions.XFGetCell(A279,B279,C279,D279,E279,F279,G279,H279,I279,J279,K279,L279,M279,N279,O279,P279,Q279,R279,S279,T279)</f>
        <v>0</v>
      </c>
    </row>
    <row r="280" spans="1:21">
      <c r="A280" t="b">
        <v>1</v>
      </c>
      <c r="B280" t="s">
        <v>26</v>
      </c>
      <c r="C280" t="s">
        <v>163</v>
      </c>
      <c r="E280" t="s">
        <v>38</v>
      </c>
      <c r="F280" t="s">
        <v>27</v>
      </c>
      <c r="G280" t="str">
        <f>INDEX('User Inputs'!$G$3:$G$14,MATCH(1,'User Inputs'!$J$3:$J$14,0))</f>
        <v>2026M05</v>
      </c>
      <c r="H280" t="s">
        <v>29</v>
      </c>
      <c r="I280" t="s">
        <v>83</v>
      </c>
      <c r="J280" t="s">
        <v>41</v>
      </c>
      <c r="K280" t="s">
        <v>31</v>
      </c>
      <c r="L280" t="s">
        <v>32</v>
      </c>
      <c r="M280" t="s">
        <v>201</v>
      </c>
      <c r="N280" t="str">
        <f t="shared" si="6"/>
        <v>111_350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U280">
        <f>_xll.OneStreamExcelAddIn.XFFunctions.XFGetCell(A280,B280,C280,D280,E280,F280,G280,H280,I280,J280,K280,L280,M280,N280,O280,P280,Q280,R280,S280,T280)</f>
        <v>0</v>
      </c>
    </row>
    <row r="281" spans="1:21">
      <c r="A281" t="b">
        <v>1</v>
      </c>
      <c r="B281" t="s">
        <v>26</v>
      </c>
      <c r="C281" t="s">
        <v>188</v>
      </c>
      <c r="E281" t="s">
        <v>38</v>
      </c>
      <c r="F281" t="s">
        <v>27</v>
      </c>
      <c r="G281" t="str">
        <f>INDEX('User Inputs'!$G$3:$G$14,MATCH(1,'User Inputs'!$J$3:$J$14,0))</f>
        <v>2026M05</v>
      </c>
      <c r="H281" t="s">
        <v>29</v>
      </c>
      <c r="I281" t="s">
        <v>83</v>
      </c>
      <c r="J281" t="s">
        <v>41</v>
      </c>
      <c r="K281" t="s">
        <v>31</v>
      </c>
      <c r="L281" t="s">
        <v>32</v>
      </c>
      <c r="M281" t="s">
        <v>202</v>
      </c>
      <c r="N281" t="str">
        <f t="shared" si="6"/>
        <v>289_351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>
        <f>_xll.OneStreamExcelAddIn.XFFunctions.XFGetCell(A281,B281,C281,D281,E281,F281,G281,H281,I281,J281,K281,L281,M281,N281,O281,P281,Q281,R281,S281,T281)</f>
        <v>0</v>
      </c>
    </row>
    <row r="282" spans="1:21">
      <c r="A282" t="b">
        <v>1</v>
      </c>
      <c r="B282" t="s">
        <v>26</v>
      </c>
      <c r="C282" t="s">
        <v>163</v>
      </c>
      <c r="E282" t="s">
        <v>38</v>
      </c>
      <c r="F282" t="s">
        <v>27</v>
      </c>
      <c r="G282" t="str">
        <f>INDEX('User Inputs'!$G$3:$G$14,MATCH(1,'User Inputs'!$J$3:$J$14,0))</f>
        <v>2026M05</v>
      </c>
      <c r="H282" t="s">
        <v>29</v>
      </c>
      <c r="I282" t="s">
        <v>83</v>
      </c>
      <c r="J282" t="s">
        <v>41</v>
      </c>
      <c r="K282" t="s">
        <v>31</v>
      </c>
      <c r="L282" t="s">
        <v>32</v>
      </c>
      <c r="M282" t="s">
        <v>203</v>
      </c>
      <c r="N282" t="str">
        <f t="shared" si="6"/>
        <v>111_360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>
        <f>_xll.OneStreamExcelAddIn.XFFunctions.XFGetCell(A282,B282,C282,D282,E282,F282,G282,H282,I282,J282,K282,L282,M282,N282,O282,P282,Q282,R282,S282,T282)</f>
        <v>0</v>
      </c>
    </row>
    <row r="283" spans="1:21">
      <c r="A283" t="b">
        <v>1</v>
      </c>
      <c r="B283" t="s">
        <v>26</v>
      </c>
      <c r="C283" t="s">
        <v>163</v>
      </c>
      <c r="E283" t="s">
        <v>38</v>
      </c>
      <c r="F283" t="s">
        <v>27</v>
      </c>
      <c r="G283" t="str">
        <f>INDEX('User Inputs'!$G$3:$G$14,MATCH(1,'User Inputs'!$J$3:$J$14,0))</f>
        <v>2026M05</v>
      </c>
      <c r="H283" t="s">
        <v>29</v>
      </c>
      <c r="I283" t="s">
        <v>83</v>
      </c>
      <c r="J283" t="s">
        <v>41</v>
      </c>
      <c r="K283" t="s">
        <v>31</v>
      </c>
      <c r="L283" t="s">
        <v>32</v>
      </c>
      <c r="M283" t="s">
        <v>204</v>
      </c>
      <c r="N283" t="str">
        <f t="shared" si="6"/>
        <v>111_366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>
        <f>_xll.OneStreamExcelAddIn.XFFunctions.XFGetCell(A283,B283,C283,D283,E283,F283,G283,H283,I283,J283,K283,L283,M283,N283,O283,P283,Q283,R283,S283,T283)</f>
        <v>0</v>
      </c>
    </row>
    <row r="284" spans="1:21">
      <c r="A284" t="b">
        <v>1</v>
      </c>
      <c r="B284" t="s">
        <v>26</v>
      </c>
      <c r="C284" t="s">
        <v>163</v>
      </c>
      <c r="E284" t="s">
        <v>38</v>
      </c>
      <c r="F284" t="s">
        <v>27</v>
      </c>
      <c r="G284" t="str">
        <f>INDEX('User Inputs'!$G$3:$G$14,MATCH(1,'User Inputs'!$J$3:$J$14,0))</f>
        <v>2026M05</v>
      </c>
      <c r="H284" t="s">
        <v>29</v>
      </c>
      <c r="I284" t="s">
        <v>83</v>
      </c>
      <c r="J284" t="s">
        <v>41</v>
      </c>
      <c r="K284" t="s">
        <v>31</v>
      </c>
      <c r="L284" t="s">
        <v>32</v>
      </c>
      <c r="M284" t="s">
        <v>205</v>
      </c>
      <c r="N284" t="str">
        <f t="shared" si="6"/>
        <v>111_370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>
        <f>_xll.OneStreamExcelAddIn.XFFunctions.XFGetCell(A284,B284,C284,D284,E284,F284,G284,H284,I284,J284,K284,L284,M284,N284,O284,P284,Q284,R284,S284,T284)</f>
        <v>547339</v>
      </c>
    </row>
    <row r="285" spans="1:21">
      <c r="A285" t="b">
        <v>1</v>
      </c>
      <c r="B285" t="s">
        <v>26</v>
      </c>
      <c r="C285" t="s">
        <v>163</v>
      </c>
      <c r="E285" t="s">
        <v>38</v>
      </c>
      <c r="F285" t="s">
        <v>27</v>
      </c>
      <c r="G285" t="str">
        <f>INDEX('User Inputs'!$G$3:$G$14,MATCH(1,'User Inputs'!$J$3:$J$14,0))</f>
        <v>2026M05</v>
      </c>
      <c r="H285" t="s">
        <v>29</v>
      </c>
      <c r="I285" t="s">
        <v>83</v>
      </c>
      <c r="J285" t="s">
        <v>41</v>
      </c>
      <c r="K285" t="s">
        <v>31</v>
      </c>
      <c r="L285" t="s">
        <v>32</v>
      </c>
      <c r="M285" t="s">
        <v>206</v>
      </c>
      <c r="N285" t="str">
        <f t="shared" si="6"/>
        <v>111_301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>
        <f>_xll.OneStreamExcelAddIn.XFFunctions.XFGetCell(A285,B285,C285,D285,E285,F285,G285,H285,I285,J285,K285,L285,M285,N285,O285,P285,Q285,R285,S285,T285)</f>
        <v>0</v>
      </c>
    </row>
    <row r="286" spans="1:21">
      <c r="A286" t="b">
        <v>1</v>
      </c>
      <c r="B286" t="s">
        <v>26</v>
      </c>
      <c r="C286" t="s">
        <v>163</v>
      </c>
      <c r="E286" t="s">
        <v>38</v>
      </c>
      <c r="F286" t="s">
        <v>27</v>
      </c>
      <c r="G286" t="str">
        <f>INDEX('User Inputs'!$G$3:$G$14,MATCH(1,'User Inputs'!$J$3:$J$14,0))</f>
        <v>2026M05</v>
      </c>
      <c r="H286" t="s">
        <v>29</v>
      </c>
      <c r="I286" t="s">
        <v>83</v>
      </c>
      <c r="J286" t="s">
        <v>41</v>
      </c>
      <c r="K286" t="s">
        <v>31</v>
      </c>
      <c r="L286" t="s">
        <v>32</v>
      </c>
      <c r="M286" t="s">
        <v>207</v>
      </c>
      <c r="N286" t="str">
        <f t="shared" si="6"/>
        <v>111_308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>
        <f>_xll.OneStreamExcelAddIn.XFFunctions.XFGetCell(A286,B286,C286,D286,E286,F286,G286,H286,I286,J286,K286,L286,M286,N286,O286,P286,Q286,R286,S286,T286)</f>
        <v>0</v>
      </c>
    </row>
    <row r="287" spans="1:21">
      <c r="A287" t="b">
        <v>1</v>
      </c>
      <c r="B287" t="s">
        <v>26</v>
      </c>
      <c r="C287" t="s">
        <v>161</v>
      </c>
      <c r="E287" t="s">
        <v>38</v>
      </c>
      <c r="F287" t="s">
        <v>27</v>
      </c>
      <c r="G287" t="str">
        <f>INDEX('User Inputs'!$G$3:$G$14,MATCH(1,'User Inputs'!$J$3:$J$14,0))</f>
        <v>2026M05</v>
      </c>
      <c r="H287" t="s">
        <v>29</v>
      </c>
      <c r="I287" t="s">
        <v>83</v>
      </c>
      <c r="J287" t="s">
        <v>41</v>
      </c>
      <c r="K287" t="s">
        <v>31</v>
      </c>
      <c r="L287" t="s">
        <v>32</v>
      </c>
      <c r="M287" t="s">
        <v>208</v>
      </c>
      <c r="N287" t="str">
        <f t="shared" si="6"/>
        <v>115_845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>
        <f>_xll.OneStreamExcelAddIn.XFFunctions.XFGetCell(A287,B287,C287,D287,E287,F287,G287,H287,I287,J287,K287,L287,M287,N287,O287,P287,Q287,R287,S287,T287)</f>
        <v>0</v>
      </c>
    </row>
    <row r="288" spans="1:21">
      <c r="A288" t="b">
        <v>1</v>
      </c>
      <c r="B288" t="s">
        <v>26</v>
      </c>
      <c r="C288" t="s">
        <v>189</v>
      </c>
      <c r="E288" t="s">
        <v>38</v>
      </c>
      <c r="F288" t="s">
        <v>27</v>
      </c>
      <c r="G288" t="str">
        <f>INDEX('User Inputs'!$G$3:$G$14,MATCH(1,'User Inputs'!$J$3:$J$14,0))</f>
        <v>2026M05</v>
      </c>
      <c r="H288" t="s">
        <v>29</v>
      </c>
      <c r="I288" t="s">
        <v>83</v>
      </c>
      <c r="J288" t="s">
        <v>41</v>
      </c>
      <c r="K288" t="s">
        <v>31</v>
      </c>
      <c r="L288" t="s">
        <v>32</v>
      </c>
      <c r="M288" t="s">
        <v>177</v>
      </c>
      <c r="N288" t="str">
        <f t="shared" si="6"/>
        <v>340_170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>
        <f>_xll.OneStreamExcelAddIn.XFFunctions.XFGetCell(A288,B288,C288,D288,E288,F288,G288,H288,I288,J288,K288,L288,M288,N288,O288,P288,Q288,R288,S288,T288)</f>
        <v>0</v>
      </c>
    </row>
    <row r="289" spans="1:21">
      <c r="A289" t="b">
        <v>1</v>
      </c>
      <c r="B289" t="s">
        <v>26</v>
      </c>
      <c r="C289" t="s">
        <v>189</v>
      </c>
      <c r="E289" t="s">
        <v>38</v>
      </c>
      <c r="F289" t="s">
        <v>27</v>
      </c>
      <c r="G289" t="str">
        <f>INDEX('User Inputs'!$G$3:$G$14,MATCH(1,'User Inputs'!$J$3:$J$14,0))</f>
        <v>2026M05</v>
      </c>
      <c r="H289" t="s">
        <v>29</v>
      </c>
      <c r="I289" t="s">
        <v>83</v>
      </c>
      <c r="J289" t="s">
        <v>41</v>
      </c>
      <c r="K289" t="s">
        <v>31</v>
      </c>
      <c r="L289" t="s">
        <v>32</v>
      </c>
      <c r="M289" t="s">
        <v>194</v>
      </c>
      <c r="N289" t="str">
        <f t="shared" si="6"/>
        <v>340_175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>
        <f>_xll.OneStreamExcelAddIn.XFFunctions.XFGetCell(A289,B289,C289,D289,E289,F289,G289,H289,I289,J289,K289,L289,M289,N289,O289,P289,Q289,R289,S289,T289)</f>
        <v>0</v>
      </c>
    </row>
    <row r="290" spans="1:21">
      <c r="A290" t="b">
        <v>1</v>
      </c>
      <c r="B290" t="s">
        <v>26</v>
      </c>
      <c r="C290" t="s">
        <v>190</v>
      </c>
      <c r="E290" t="s">
        <v>38</v>
      </c>
      <c r="F290" t="s">
        <v>27</v>
      </c>
      <c r="G290" t="str">
        <f>INDEX('User Inputs'!$G$3:$G$14,MATCH(1,'User Inputs'!$J$3:$J$14,0))</f>
        <v>2026M05</v>
      </c>
      <c r="H290" t="s">
        <v>29</v>
      </c>
      <c r="I290" t="s">
        <v>83</v>
      </c>
      <c r="J290" t="s">
        <v>41</v>
      </c>
      <c r="K290" t="s">
        <v>31</v>
      </c>
      <c r="L290" t="s">
        <v>32</v>
      </c>
      <c r="M290" t="s">
        <v>209</v>
      </c>
      <c r="N290" t="str">
        <f t="shared" si="6"/>
        <v>323_723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>
        <f>_xll.OneStreamExcelAddIn.XFFunctions.XFGetCell(A290,B290,C290,D290,E290,F290,G290,H290,I290,J290,K290,L290,M290,N290,O290,P290,Q290,R290,S290,T290)</f>
        <v>0</v>
      </c>
    </row>
    <row r="291" spans="1:21">
      <c r="A291" t="b">
        <v>1</v>
      </c>
      <c r="B291" t="s">
        <v>26</v>
      </c>
      <c r="C291" t="s">
        <v>190</v>
      </c>
      <c r="E291" t="s">
        <v>38</v>
      </c>
      <c r="F291" t="s">
        <v>27</v>
      </c>
      <c r="G291" t="str">
        <f>INDEX('User Inputs'!$G$3:$G$14,MATCH(1,'User Inputs'!$J$3:$J$14,0))</f>
        <v>2026M05</v>
      </c>
      <c r="H291" t="s">
        <v>29</v>
      </c>
      <c r="I291" t="s">
        <v>83</v>
      </c>
      <c r="J291" t="s">
        <v>41</v>
      </c>
      <c r="K291" t="s">
        <v>31</v>
      </c>
      <c r="L291" t="s">
        <v>32</v>
      </c>
      <c r="M291" t="s">
        <v>210</v>
      </c>
      <c r="N291" t="str">
        <f t="shared" si="6"/>
        <v>323_720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>
        <f>_xll.OneStreamExcelAddIn.XFFunctions.XFGetCell(A291,B291,C291,D291,E291,F291,G291,H291,I291,J291,K291,L291,M291,N291,O291,P291,Q291,R291,S291,T291)</f>
        <v>0</v>
      </c>
    </row>
    <row r="292" spans="1:21">
      <c r="A292" t="b">
        <v>1</v>
      </c>
      <c r="B292" t="s">
        <v>26</v>
      </c>
      <c r="C292" t="s">
        <v>163</v>
      </c>
      <c r="E292" t="s">
        <v>38</v>
      </c>
      <c r="F292" t="s">
        <v>27</v>
      </c>
      <c r="G292" t="str">
        <f>INDEX('User Inputs'!$G$3:$G$14,MATCH(1,'User Inputs'!$J$3:$J$14,0))</f>
        <v>2026M05</v>
      </c>
      <c r="H292" t="s">
        <v>29</v>
      </c>
      <c r="I292" t="s">
        <v>83</v>
      </c>
      <c r="J292" t="s">
        <v>41</v>
      </c>
      <c r="K292" t="s">
        <v>31</v>
      </c>
      <c r="L292" t="s">
        <v>32</v>
      </c>
      <c r="M292" t="s">
        <v>211</v>
      </c>
      <c r="N292" t="str">
        <f t="shared" si="6"/>
        <v>111_302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>
        <f>_xll.OneStreamExcelAddIn.XFFunctions.XFGetCell(A292,B292,C292,D292,E292,F292,G292,H292,I292,J292,K292,L292,M292,N292,O292,P292,Q292,R292,S292,T292)</f>
        <v>0</v>
      </c>
    </row>
    <row r="293" spans="1:21">
      <c r="A293" t="b">
        <v>1</v>
      </c>
      <c r="B293" t="s">
        <v>26</v>
      </c>
      <c r="C293" t="s">
        <v>191</v>
      </c>
      <c r="E293" t="s">
        <v>38</v>
      </c>
      <c r="F293" t="s">
        <v>27</v>
      </c>
      <c r="G293" t="str">
        <f>INDEX('User Inputs'!$G$3:$G$14,MATCH(1,'User Inputs'!$J$3:$J$14,0))</f>
        <v>2026M05</v>
      </c>
      <c r="H293" t="s">
        <v>29</v>
      </c>
      <c r="I293" t="s">
        <v>83</v>
      </c>
      <c r="J293" t="s">
        <v>41</v>
      </c>
      <c r="K293" t="s">
        <v>31</v>
      </c>
      <c r="L293" t="s">
        <v>32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>
        <f>_xll.OneStreamExcelAddIn.XFFunctions.XFGetCell(A293,B293,C293,D293,E293,F293,G293,H293,I293,J293,K293,L293,M293,N293,O293,P293,Q293,R293,S293,T293)</f>
        <v>0</v>
      </c>
    </row>
    <row r="294" spans="1:21">
      <c r="A294" t="b">
        <v>1</v>
      </c>
      <c r="B294" t="s">
        <v>26</v>
      </c>
      <c r="C294" t="s">
        <v>192</v>
      </c>
      <c r="E294" t="s">
        <v>38</v>
      </c>
      <c r="F294" t="s">
        <v>27</v>
      </c>
      <c r="G294" t="str">
        <f>INDEX('User Inputs'!$G$3:$G$14,MATCH(1,'User Inputs'!$J$3:$J$14,0))</f>
        <v>2026M05</v>
      </c>
      <c r="H294" t="s">
        <v>29</v>
      </c>
      <c r="I294" t="s">
        <v>83</v>
      </c>
      <c r="J294" t="s">
        <v>41</v>
      </c>
      <c r="K294" t="s">
        <v>31</v>
      </c>
      <c r="L294" t="s">
        <v>32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>
        <f>_xll.OneStreamExcelAddIn.XFFunctions.XFGetCell(A294,B294,C294,D294,E294,F294,G294,H294,I294,J294,K294,L294,M294,N294,O294,P294,Q294,R294,S294,T294)</f>
        <v>0</v>
      </c>
    </row>
    <row r="295" spans="1:21">
      <c r="A295" t="b">
        <v>1</v>
      </c>
      <c r="B295" t="s">
        <v>26</v>
      </c>
      <c r="C295" t="s">
        <v>151</v>
      </c>
      <c r="E295" t="s">
        <v>38</v>
      </c>
      <c r="F295" t="s">
        <v>27</v>
      </c>
      <c r="G295" t="str">
        <f>INDEX('User Inputs'!$G$3:$G$14,MATCH(1,'User Inputs'!$J$3:$J$14,0))</f>
        <v>2026M05</v>
      </c>
      <c r="H295" t="s">
        <v>29</v>
      </c>
      <c r="I295" t="s">
        <v>83</v>
      </c>
      <c r="J295" t="s">
        <v>41</v>
      </c>
      <c r="K295" t="s">
        <v>31</v>
      </c>
      <c r="L295" t="s">
        <v>32</v>
      </c>
      <c r="M295" t="s">
        <v>212</v>
      </c>
      <c r="N295" t="str">
        <f t="shared" si="6"/>
        <v>113_540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>
        <f>_xll.OneStreamExcelAddIn.XFFunctions.XFGetCell(A295,B295,C295,D295,E295,F295,G295,H295,I295,J295,K295,L295,M295,N295,O295,P295,Q295,R295,S295,T295)</f>
        <v>0</v>
      </c>
    </row>
    <row r="296" spans="1:21">
      <c r="A296" t="b">
        <v>1</v>
      </c>
      <c r="B296" t="s">
        <v>26</v>
      </c>
      <c r="C296" t="s">
        <v>163</v>
      </c>
      <c r="E296" t="s">
        <v>38</v>
      </c>
      <c r="F296" t="s">
        <v>27</v>
      </c>
      <c r="G296" t="str">
        <f>INDEX('User Inputs'!$G$3:$G$14,MATCH(1,'User Inputs'!$J$3:$J$14,0))</f>
        <v>2026M05</v>
      </c>
      <c r="H296" t="s">
        <v>29</v>
      </c>
      <c r="I296" t="s">
        <v>83</v>
      </c>
      <c r="J296" t="s">
        <v>41</v>
      </c>
      <c r="K296" t="s">
        <v>31</v>
      </c>
      <c r="L296" t="s">
        <v>32</v>
      </c>
      <c r="M296" t="s">
        <v>213</v>
      </c>
      <c r="N296" t="str">
        <f t="shared" si="6"/>
        <v>111_595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>
        <f>_xll.OneStreamExcelAddIn.XFFunctions.XFGetCell(A296,B296,C296,D296,E296,F296,G296,H296,I296,J296,K296,L296,M296,N296,O296,P296,Q296,R296,S296,T296)</f>
        <v>0</v>
      </c>
    </row>
    <row r="297" spans="1:21">
      <c r="A297" t="b">
        <v>1</v>
      </c>
      <c r="B297" t="s">
        <v>26</v>
      </c>
      <c r="C297" t="s">
        <v>168</v>
      </c>
      <c r="E297" t="s">
        <v>38</v>
      </c>
      <c r="F297" t="s">
        <v>27</v>
      </c>
      <c r="G297" t="str">
        <f>INDEX('User Inputs'!$G$3:$G$14,MATCH(1,'User Inputs'!$J$3:$J$14,0))</f>
        <v>2026M05</v>
      </c>
      <c r="H297" t="s">
        <v>29</v>
      </c>
      <c r="I297" t="s">
        <v>83</v>
      </c>
      <c r="J297" t="s">
        <v>41</v>
      </c>
      <c r="K297" t="s">
        <v>31</v>
      </c>
      <c r="L297" t="s">
        <v>32</v>
      </c>
      <c r="M297" t="s">
        <v>213</v>
      </c>
      <c r="N297" t="str">
        <f t="shared" si="6"/>
        <v>213_595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>
        <f>_xll.OneStreamExcelAddIn.XFFunctions.XFGetCell(A297,B297,C297,D297,E297,F297,G297,H297,I297,J297,K297,L297,M297,N297,O297,P297,Q297,R297,S297,T297)</f>
        <v>0</v>
      </c>
    </row>
    <row r="298" spans="1:21">
      <c r="A298" t="b">
        <v>1</v>
      </c>
      <c r="B298" t="s">
        <v>26</v>
      </c>
      <c r="C298">
        <v>909</v>
      </c>
      <c r="E298" t="s">
        <v>38</v>
      </c>
      <c r="F298" t="s">
        <v>27</v>
      </c>
      <c r="G298" t="str">
        <f>INDEX('User Inputs'!$G$3:$G$14,MATCH(1,'User Inputs'!$J$3:$J$14,0))</f>
        <v>2026M05</v>
      </c>
      <c r="H298" t="s">
        <v>29</v>
      </c>
      <c r="I298" t="s">
        <v>83</v>
      </c>
      <c r="J298" t="s">
        <v>41</v>
      </c>
      <c r="K298" t="s">
        <v>31</v>
      </c>
      <c r="L298" t="s">
        <v>32</v>
      </c>
      <c r="M298">
        <v>950</v>
      </c>
      <c r="N298" t="str">
        <f t="shared" si="6"/>
        <v>909_950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>
        <f>_xll.OneStreamExcelAddIn.XFFunctions.XFGetCell(A298,B298,C298,D298,E298,F298,G298,H298,I298,J298,K298,L298,M298,N298,O298,P298,Q298,R298,S298,T298)</f>
        <v>-547339</v>
      </c>
    </row>
    <row r="299" spans="1:21">
      <c r="A299" t="b">
        <v>1</v>
      </c>
      <c r="B299" t="s">
        <v>26</v>
      </c>
      <c r="C299">
        <v>900</v>
      </c>
      <c r="E299" t="s">
        <v>38</v>
      </c>
      <c r="F299" t="s">
        <v>27</v>
      </c>
      <c r="G299" t="str">
        <f>INDEX('User Inputs'!$G$3:$G$14,MATCH(1,'User Inputs'!$J$3:$J$14,0))</f>
        <v>2026M05</v>
      </c>
      <c r="H299" t="s">
        <v>29</v>
      </c>
      <c r="I299" t="s">
        <v>83</v>
      </c>
      <c r="J299" t="s">
        <v>41</v>
      </c>
      <c r="K299" t="s">
        <v>31</v>
      </c>
      <c r="L299" t="s">
        <v>32</v>
      </c>
      <c r="M299">
        <v>965</v>
      </c>
      <c r="N299" t="str">
        <f t="shared" si="6"/>
        <v>900_965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>
        <f>_xll.OneStreamExcelAddIn.XFFunctions.XFGetCell(A299,B299,C299,D299,E299,F299,G299,H299,I299,J299,K299,L299,M299,N299,O299,P299,Q299,R299,S299,T299)</f>
        <v>0</v>
      </c>
    </row>
  </sheetData>
  <sortState xmlns:xlrd2="http://schemas.microsoft.com/office/spreadsheetml/2017/richdata2" ref="A2:U98">
    <sortCondition ref="I1:I9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87DD-3C9C-4AAA-90BE-5F1A64C92E6B}">
  <dimension ref="A1:J240"/>
  <sheetViews>
    <sheetView topLeftCell="A199" workbookViewId="0">
      <selection activeCell="H239" sqref="H239"/>
    </sheetView>
  </sheetViews>
  <sheetFormatPr defaultRowHeight="14.25"/>
  <cols>
    <col min="1" max="1" width="20" customWidth="1"/>
  </cols>
  <sheetData>
    <row r="1" spans="1:10">
      <c r="A1" t="s">
        <v>82</v>
      </c>
      <c r="B1" t="s">
        <v>25</v>
      </c>
      <c r="C1" t="s">
        <v>33</v>
      </c>
      <c r="D1" t="s">
        <v>1</v>
      </c>
      <c r="E1" t="s">
        <v>2</v>
      </c>
      <c r="F1" t="s">
        <v>74</v>
      </c>
      <c r="G1" t="s">
        <v>75</v>
      </c>
      <c r="H1" t="s">
        <v>76</v>
      </c>
      <c r="J1">
        <f>SUM(H2:H237)</f>
        <v>5975314.2600000007</v>
      </c>
    </row>
    <row r="2" spans="1:10">
      <c r="A2" s="12" t="str">
        <f>_xlfn.CONCAT(B2,"-",C2,D2,E2)</f>
        <v>111-170611000330130</v>
      </c>
      <c r="B2">
        <f>'OneStream Pulls'!C2</f>
        <v>111</v>
      </c>
      <c r="C2">
        <f>'OneStream Pulls'!M2</f>
        <v>170</v>
      </c>
      <c r="D2">
        <f>'OneStream Pulls'!I2</f>
        <v>611000</v>
      </c>
      <c r="E2" s="11">
        <f>IF(ISNUMBER('OneStream Pulls'!P2),'OneStream Pulls'!P2,0)</f>
        <v>330130</v>
      </c>
      <c r="F2" t="str">
        <f>INDEX('User Inputs'!$I$3:$I$14,MATCH('OneStream Pulls'!G2,'User Inputs'!$G$3:$G$14,0))</f>
        <v>May</v>
      </c>
      <c r="G2" t="str">
        <f>LEFT('OneStream Pulls'!G2,4)</f>
        <v>2026</v>
      </c>
      <c r="H2">
        <f>'OneStream Pulls'!U2</f>
        <v>0</v>
      </c>
    </row>
    <row r="3" spans="1:10">
      <c r="A3" s="12" t="str">
        <f t="shared" ref="A3:A66" si="0">_xlfn.CONCAT(B3,"-",C3,D3,E3)</f>
        <v>111-170611000330160</v>
      </c>
      <c r="B3">
        <f>'OneStream Pulls'!C3</f>
        <v>111</v>
      </c>
      <c r="C3">
        <f>'OneStream Pulls'!M3</f>
        <v>170</v>
      </c>
      <c r="D3">
        <f>'OneStream Pulls'!I3</f>
        <v>611000</v>
      </c>
      <c r="E3" s="11">
        <f>IF(ISNUMBER('OneStream Pulls'!P3),'OneStream Pulls'!P3,0)</f>
        <v>330160</v>
      </c>
      <c r="F3" t="str">
        <f>INDEX('User Inputs'!$I$3:$I$14,MATCH('OneStream Pulls'!G3,'User Inputs'!$G$3:$G$14,0))</f>
        <v>May</v>
      </c>
      <c r="G3" t="str">
        <f>LEFT('OneStream Pulls'!G3,4)</f>
        <v>2026</v>
      </c>
      <c r="H3">
        <f>'OneStream Pulls'!U3</f>
        <v>0</v>
      </c>
    </row>
    <row r="4" spans="1:10">
      <c r="A4" s="12" t="str">
        <f t="shared" si="0"/>
        <v>111-170611000330170</v>
      </c>
      <c r="B4">
        <f>'OneStream Pulls'!C4</f>
        <v>111</v>
      </c>
      <c r="C4">
        <f>'OneStream Pulls'!M4</f>
        <v>170</v>
      </c>
      <c r="D4">
        <f>'OneStream Pulls'!I4</f>
        <v>611000</v>
      </c>
      <c r="E4" s="11">
        <f>IF(ISNUMBER('OneStream Pulls'!P4),'OneStream Pulls'!P4,0)</f>
        <v>330170</v>
      </c>
      <c r="F4" t="str">
        <f>INDEX('User Inputs'!$I$3:$I$14,MATCH('OneStream Pulls'!G4,'User Inputs'!$G$3:$G$14,0))</f>
        <v>May</v>
      </c>
      <c r="G4" t="str">
        <f>LEFT('OneStream Pulls'!G4,4)</f>
        <v>2026</v>
      </c>
      <c r="H4">
        <f>'OneStream Pulls'!U4</f>
        <v>0</v>
      </c>
    </row>
    <row r="5" spans="1:10">
      <c r="A5" s="12" t="str">
        <f t="shared" si="0"/>
        <v>111-170611000330120</v>
      </c>
      <c r="B5">
        <f>'OneStream Pulls'!C5</f>
        <v>111</v>
      </c>
      <c r="C5">
        <f>'OneStream Pulls'!M5</f>
        <v>170</v>
      </c>
      <c r="D5">
        <f>'OneStream Pulls'!I5</f>
        <v>611000</v>
      </c>
      <c r="E5" s="11">
        <f>IF(ISNUMBER('OneStream Pulls'!P5),'OneStream Pulls'!P5,0)</f>
        <v>330120</v>
      </c>
      <c r="F5" t="str">
        <f>INDEX('User Inputs'!$I$3:$I$14,MATCH('OneStream Pulls'!G5,'User Inputs'!$G$3:$G$14,0))</f>
        <v>May</v>
      </c>
      <c r="G5" t="str">
        <f>LEFT('OneStream Pulls'!G5,4)</f>
        <v>2026</v>
      </c>
      <c r="H5">
        <f>'OneStream Pulls'!U5</f>
        <v>0</v>
      </c>
    </row>
    <row r="6" spans="1:10">
      <c r="A6" s="12" t="str">
        <f t="shared" si="0"/>
        <v>111-170611000330100</v>
      </c>
      <c r="B6">
        <f>'OneStream Pulls'!C6</f>
        <v>111</v>
      </c>
      <c r="C6">
        <f>'OneStream Pulls'!M6</f>
        <v>170</v>
      </c>
      <c r="D6">
        <f>'OneStream Pulls'!I6</f>
        <v>611000</v>
      </c>
      <c r="E6" s="11">
        <f>IF(ISNUMBER('OneStream Pulls'!P6),'OneStream Pulls'!P6,0)</f>
        <v>330100</v>
      </c>
      <c r="F6" t="str">
        <f>INDEX('User Inputs'!$I$3:$I$14,MATCH('OneStream Pulls'!G6,'User Inputs'!$G$3:$G$14,0))</f>
        <v>May</v>
      </c>
      <c r="G6" t="str">
        <f>LEFT('OneStream Pulls'!G6,4)</f>
        <v>2026</v>
      </c>
      <c r="H6">
        <f>'OneStream Pulls'!U6</f>
        <v>306779.49</v>
      </c>
    </row>
    <row r="7" spans="1:10">
      <c r="A7" s="12" t="str">
        <f t="shared" si="0"/>
        <v>111-170611000330150</v>
      </c>
      <c r="B7">
        <f>'OneStream Pulls'!C7</f>
        <v>111</v>
      </c>
      <c r="C7">
        <f>'OneStream Pulls'!M7</f>
        <v>170</v>
      </c>
      <c r="D7">
        <f>'OneStream Pulls'!I7</f>
        <v>611000</v>
      </c>
      <c r="E7" s="11">
        <f>IF(ISNUMBER('OneStream Pulls'!P7),'OneStream Pulls'!P7,0)</f>
        <v>330150</v>
      </c>
      <c r="F7" t="str">
        <f>INDEX('User Inputs'!$I$3:$I$14,MATCH('OneStream Pulls'!G7,'User Inputs'!$G$3:$G$14,0))</f>
        <v>May</v>
      </c>
      <c r="G7" t="str">
        <f>LEFT('OneStream Pulls'!G7,4)</f>
        <v>2026</v>
      </c>
      <c r="H7">
        <f>'OneStream Pulls'!U7</f>
        <v>0</v>
      </c>
    </row>
    <row r="8" spans="1:10">
      <c r="A8" s="12" t="str">
        <f t="shared" si="0"/>
        <v>111-170611000330110</v>
      </c>
      <c r="B8">
        <f>'OneStream Pulls'!C8</f>
        <v>111</v>
      </c>
      <c r="C8">
        <f>'OneStream Pulls'!M8</f>
        <v>170</v>
      </c>
      <c r="D8">
        <f>'OneStream Pulls'!I8</f>
        <v>611000</v>
      </c>
      <c r="E8" s="11">
        <f>IF(ISNUMBER('OneStream Pulls'!P8),'OneStream Pulls'!P8,0)</f>
        <v>330110</v>
      </c>
      <c r="F8" t="str">
        <f>INDEX('User Inputs'!$I$3:$I$14,MATCH('OneStream Pulls'!G8,'User Inputs'!$G$3:$G$14,0))</f>
        <v>May</v>
      </c>
      <c r="G8" t="str">
        <f>LEFT('OneStream Pulls'!G8,4)</f>
        <v>2026</v>
      </c>
      <c r="H8">
        <f>'OneStream Pulls'!U8</f>
        <v>0</v>
      </c>
    </row>
    <row r="9" spans="1:10">
      <c r="A9" s="12" t="str">
        <f t="shared" si="0"/>
        <v>111-170611000330180</v>
      </c>
      <c r="B9">
        <f>'OneStream Pulls'!C9</f>
        <v>111</v>
      </c>
      <c r="C9">
        <f>'OneStream Pulls'!M9</f>
        <v>170</v>
      </c>
      <c r="D9">
        <f>'OneStream Pulls'!I9</f>
        <v>611000</v>
      </c>
      <c r="E9" s="11">
        <f>IF(ISNUMBER('OneStream Pulls'!P9),'OneStream Pulls'!P9,0)</f>
        <v>330180</v>
      </c>
      <c r="F9" t="str">
        <f>INDEX('User Inputs'!$I$3:$I$14,MATCH('OneStream Pulls'!G9,'User Inputs'!$G$3:$G$14,0))</f>
        <v>May</v>
      </c>
      <c r="G9" t="str">
        <f>LEFT('OneStream Pulls'!G9,4)</f>
        <v>2026</v>
      </c>
      <c r="H9">
        <f>'OneStream Pulls'!U9</f>
        <v>0</v>
      </c>
    </row>
    <row r="10" spans="1:10">
      <c r="A10" s="12" t="str">
        <f t="shared" si="0"/>
        <v>111-170611000331200</v>
      </c>
      <c r="B10">
        <f>'OneStream Pulls'!C10</f>
        <v>111</v>
      </c>
      <c r="C10">
        <f>'OneStream Pulls'!M10</f>
        <v>170</v>
      </c>
      <c r="D10">
        <f>'OneStream Pulls'!I10</f>
        <v>611000</v>
      </c>
      <c r="E10" s="11">
        <f>IF(ISNUMBER('OneStream Pulls'!P10),'OneStream Pulls'!P10,0)</f>
        <v>331200</v>
      </c>
      <c r="F10" t="str">
        <f>INDEX('User Inputs'!$I$3:$I$14,MATCH('OneStream Pulls'!G10,'User Inputs'!$G$3:$G$14,0))</f>
        <v>May</v>
      </c>
      <c r="G10" t="str">
        <f>LEFT('OneStream Pulls'!G10,4)</f>
        <v>2026</v>
      </c>
      <c r="H10">
        <f>'OneStream Pulls'!U10</f>
        <v>35500</v>
      </c>
    </row>
    <row r="11" spans="1:10">
      <c r="A11" s="12" t="str">
        <f t="shared" si="0"/>
        <v>111-170611010330210</v>
      </c>
      <c r="B11">
        <f>'OneStream Pulls'!C11</f>
        <v>111</v>
      </c>
      <c r="C11">
        <f>'OneStream Pulls'!M11</f>
        <v>170</v>
      </c>
      <c r="D11">
        <f>'OneStream Pulls'!I11</f>
        <v>611010</v>
      </c>
      <c r="E11" s="11">
        <f>IF(ISNUMBER('OneStream Pulls'!P11),'OneStream Pulls'!P11,0)</f>
        <v>330210</v>
      </c>
      <c r="F11" t="str">
        <f>INDEX('User Inputs'!$I$3:$I$14,MATCH('OneStream Pulls'!G11,'User Inputs'!$G$3:$G$14,0))</f>
        <v>May</v>
      </c>
      <c r="G11" t="str">
        <f>LEFT('OneStream Pulls'!G11,4)</f>
        <v>2026</v>
      </c>
      <c r="H11">
        <f>'OneStream Pulls'!U11</f>
        <v>0</v>
      </c>
    </row>
    <row r="12" spans="1:10">
      <c r="A12" s="12" t="str">
        <f t="shared" si="0"/>
        <v>111-170611010330200</v>
      </c>
      <c r="B12">
        <f>'OneStream Pulls'!C12</f>
        <v>111</v>
      </c>
      <c r="C12">
        <f>'OneStream Pulls'!M12</f>
        <v>170</v>
      </c>
      <c r="D12">
        <f>'OneStream Pulls'!I12</f>
        <v>611010</v>
      </c>
      <c r="E12" s="11">
        <f>IF(ISNUMBER('OneStream Pulls'!P12),'OneStream Pulls'!P12,0)</f>
        <v>330200</v>
      </c>
      <c r="F12" t="str">
        <f>INDEX('User Inputs'!$I$3:$I$14,MATCH('OneStream Pulls'!G12,'User Inputs'!$G$3:$G$14,0))</f>
        <v>May</v>
      </c>
      <c r="G12" t="str">
        <f>LEFT('OneStream Pulls'!G12,4)</f>
        <v>2026</v>
      </c>
      <c r="H12">
        <f>'OneStream Pulls'!U12</f>
        <v>7977</v>
      </c>
    </row>
    <row r="13" spans="1:10">
      <c r="A13" s="12" t="str">
        <f t="shared" si="0"/>
        <v>111-170611010330220</v>
      </c>
      <c r="B13">
        <f>'OneStream Pulls'!C13</f>
        <v>111</v>
      </c>
      <c r="C13">
        <f>'OneStream Pulls'!M13</f>
        <v>170</v>
      </c>
      <c r="D13">
        <f>'OneStream Pulls'!I13</f>
        <v>611010</v>
      </c>
      <c r="E13" s="11">
        <f>IF(ISNUMBER('OneStream Pulls'!P13),'OneStream Pulls'!P13,0)</f>
        <v>330220</v>
      </c>
      <c r="F13" t="str">
        <f>INDEX('User Inputs'!$I$3:$I$14,MATCH('OneStream Pulls'!G13,'User Inputs'!$G$3:$G$14,0))</f>
        <v>May</v>
      </c>
      <c r="G13" t="str">
        <f>LEFT('OneStream Pulls'!G13,4)</f>
        <v>2026</v>
      </c>
      <c r="H13">
        <f>'OneStream Pulls'!U13</f>
        <v>0</v>
      </c>
    </row>
    <row r="14" spans="1:10">
      <c r="A14" s="12" t="str">
        <f t="shared" si="0"/>
        <v>111-170611010330250</v>
      </c>
      <c r="B14">
        <f>'OneStream Pulls'!C14</f>
        <v>111</v>
      </c>
      <c r="C14">
        <f>'OneStream Pulls'!M14</f>
        <v>170</v>
      </c>
      <c r="D14">
        <f>'OneStream Pulls'!I14</f>
        <v>611010</v>
      </c>
      <c r="E14" s="11">
        <f>IF(ISNUMBER('OneStream Pulls'!P14),'OneStream Pulls'!P14,0)</f>
        <v>330250</v>
      </c>
      <c r="F14" t="str">
        <f>INDEX('User Inputs'!$I$3:$I$14,MATCH('OneStream Pulls'!G14,'User Inputs'!$G$3:$G$14,0))</f>
        <v>May</v>
      </c>
      <c r="G14" t="str">
        <f>LEFT('OneStream Pulls'!G14,4)</f>
        <v>2026</v>
      </c>
      <c r="H14">
        <f>'OneStream Pulls'!U14</f>
        <v>994381.66</v>
      </c>
    </row>
    <row r="15" spans="1:10">
      <c r="A15" s="12" t="str">
        <f t="shared" si="0"/>
        <v>111-170611010330230</v>
      </c>
      <c r="B15">
        <f>'OneStream Pulls'!C15</f>
        <v>111</v>
      </c>
      <c r="C15">
        <f>'OneStream Pulls'!M15</f>
        <v>170</v>
      </c>
      <c r="D15">
        <f>'OneStream Pulls'!I15</f>
        <v>611010</v>
      </c>
      <c r="E15" s="11">
        <f>IF(ISNUMBER('OneStream Pulls'!P15),'OneStream Pulls'!P15,0)</f>
        <v>330230</v>
      </c>
      <c r="F15" t="str">
        <f>INDEX('User Inputs'!$I$3:$I$14,MATCH('OneStream Pulls'!G15,'User Inputs'!$G$3:$G$14,0))</f>
        <v>May</v>
      </c>
      <c r="G15" t="str">
        <f>LEFT('OneStream Pulls'!G15,4)</f>
        <v>2026</v>
      </c>
      <c r="H15">
        <f>'OneStream Pulls'!U15</f>
        <v>0</v>
      </c>
    </row>
    <row r="16" spans="1:10">
      <c r="A16" s="12" t="str">
        <f t="shared" si="0"/>
        <v>111-170611010330260</v>
      </c>
      <c r="B16">
        <f>'OneStream Pulls'!C16</f>
        <v>111</v>
      </c>
      <c r="C16">
        <f>'OneStream Pulls'!M16</f>
        <v>170</v>
      </c>
      <c r="D16">
        <f>'OneStream Pulls'!I16</f>
        <v>611010</v>
      </c>
      <c r="E16" s="11">
        <f>IF(ISNUMBER('OneStream Pulls'!P16),'OneStream Pulls'!P16,0)</f>
        <v>330260</v>
      </c>
      <c r="F16" t="str">
        <f>INDEX('User Inputs'!$I$3:$I$14,MATCH('OneStream Pulls'!G16,'User Inputs'!$G$3:$G$14,0))</f>
        <v>May</v>
      </c>
      <c r="G16" t="str">
        <f>LEFT('OneStream Pulls'!G16,4)</f>
        <v>2026</v>
      </c>
      <c r="H16">
        <f>'OneStream Pulls'!U16</f>
        <v>243000</v>
      </c>
    </row>
    <row r="17" spans="1:8">
      <c r="A17" s="12" t="str">
        <f t="shared" si="0"/>
        <v>111-170611010330240</v>
      </c>
      <c r="B17">
        <f>'OneStream Pulls'!C17</f>
        <v>111</v>
      </c>
      <c r="C17">
        <f>'OneStream Pulls'!M17</f>
        <v>170</v>
      </c>
      <c r="D17">
        <f>'OneStream Pulls'!I17</f>
        <v>611010</v>
      </c>
      <c r="E17" s="11">
        <f>IF(ISNUMBER('OneStream Pulls'!P17),'OneStream Pulls'!P17,0)</f>
        <v>330240</v>
      </c>
      <c r="F17" t="str">
        <f>INDEX('User Inputs'!$I$3:$I$14,MATCH('OneStream Pulls'!G17,'User Inputs'!$G$3:$G$14,0))</f>
        <v>May</v>
      </c>
      <c r="G17" t="str">
        <f>LEFT('OneStream Pulls'!G17,4)</f>
        <v>2026</v>
      </c>
      <c r="H17">
        <f>'OneStream Pulls'!U17</f>
        <v>0</v>
      </c>
    </row>
    <row r="18" spans="1:8">
      <c r="A18" s="12" t="str">
        <f t="shared" si="0"/>
        <v>111-170611020330330</v>
      </c>
      <c r="B18">
        <f>'OneStream Pulls'!C18</f>
        <v>111</v>
      </c>
      <c r="C18">
        <f>'OneStream Pulls'!M18</f>
        <v>170</v>
      </c>
      <c r="D18">
        <f>'OneStream Pulls'!I18</f>
        <v>611020</v>
      </c>
      <c r="E18" s="11">
        <f>IF(ISNUMBER('OneStream Pulls'!P18),'OneStream Pulls'!P18,0)</f>
        <v>330330</v>
      </c>
      <c r="F18" t="str">
        <f>INDEX('User Inputs'!$I$3:$I$14,MATCH('OneStream Pulls'!G18,'User Inputs'!$G$3:$G$14,0))</f>
        <v>May</v>
      </c>
      <c r="G18" t="str">
        <f>LEFT('OneStream Pulls'!G18,4)</f>
        <v>2026</v>
      </c>
      <c r="H18">
        <f>'OneStream Pulls'!U18</f>
        <v>0</v>
      </c>
    </row>
    <row r="19" spans="1:8">
      <c r="A19" s="12" t="str">
        <f t="shared" si="0"/>
        <v>111-170611020330300</v>
      </c>
      <c r="B19">
        <f>'OneStream Pulls'!C19</f>
        <v>111</v>
      </c>
      <c r="C19">
        <f>'OneStream Pulls'!M19</f>
        <v>170</v>
      </c>
      <c r="D19">
        <f>'OneStream Pulls'!I19</f>
        <v>611020</v>
      </c>
      <c r="E19" s="11">
        <f>IF(ISNUMBER('OneStream Pulls'!P19),'OneStream Pulls'!P19,0)</f>
        <v>330300</v>
      </c>
      <c r="F19" t="str">
        <f>INDEX('User Inputs'!$I$3:$I$14,MATCH('OneStream Pulls'!G19,'User Inputs'!$G$3:$G$14,0))</f>
        <v>May</v>
      </c>
      <c r="G19" t="str">
        <f>LEFT('OneStream Pulls'!G19,4)</f>
        <v>2026</v>
      </c>
      <c r="H19">
        <f>'OneStream Pulls'!U19</f>
        <v>0</v>
      </c>
    </row>
    <row r="20" spans="1:8">
      <c r="A20" s="12" t="str">
        <f t="shared" si="0"/>
        <v>111-170611020330340</v>
      </c>
      <c r="B20">
        <f>'OneStream Pulls'!C20</f>
        <v>111</v>
      </c>
      <c r="C20">
        <f>'OneStream Pulls'!M20</f>
        <v>170</v>
      </c>
      <c r="D20">
        <f>'OneStream Pulls'!I20</f>
        <v>611020</v>
      </c>
      <c r="E20" s="11">
        <f>IF(ISNUMBER('OneStream Pulls'!P20),'OneStream Pulls'!P20,0)</f>
        <v>330340</v>
      </c>
      <c r="F20" t="str">
        <f>INDEX('User Inputs'!$I$3:$I$14,MATCH('OneStream Pulls'!G20,'User Inputs'!$G$3:$G$14,0))</f>
        <v>May</v>
      </c>
      <c r="G20" t="str">
        <f>LEFT('OneStream Pulls'!G20,4)</f>
        <v>2026</v>
      </c>
      <c r="H20">
        <f>'OneStream Pulls'!U20</f>
        <v>333860.43</v>
      </c>
    </row>
    <row r="21" spans="1:8">
      <c r="A21" s="12" t="str">
        <f t="shared" si="0"/>
        <v>111-170611020330350</v>
      </c>
      <c r="B21">
        <f>'OneStream Pulls'!C21</f>
        <v>111</v>
      </c>
      <c r="C21">
        <f>'OneStream Pulls'!M21</f>
        <v>170</v>
      </c>
      <c r="D21">
        <f>'OneStream Pulls'!I21</f>
        <v>611020</v>
      </c>
      <c r="E21" s="11">
        <f>IF(ISNUMBER('OneStream Pulls'!P21),'OneStream Pulls'!P21,0)</f>
        <v>330350</v>
      </c>
      <c r="F21" t="str">
        <f>INDEX('User Inputs'!$I$3:$I$14,MATCH('OneStream Pulls'!G21,'User Inputs'!$G$3:$G$14,0))</f>
        <v>May</v>
      </c>
      <c r="G21" t="str">
        <f>LEFT('OneStream Pulls'!G21,4)</f>
        <v>2026</v>
      </c>
      <c r="H21">
        <f>'OneStream Pulls'!U21</f>
        <v>0</v>
      </c>
    </row>
    <row r="22" spans="1:8">
      <c r="A22" s="12" t="str">
        <f t="shared" si="0"/>
        <v>111-170611020330320</v>
      </c>
      <c r="B22">
        <f>'OneStream Pulls'!C22</f>
        <v>111</v>
      </c>
      <c r="C22">
        <f>'OneStream Pulls'!M22</f>
        <v>170</v>
      </c>
      <c r="D22">
        <f>'OneStream Pulls'!I22</f>
        <v>611020</v>
      </c>
      <c r="E22" s="11">
        <f>IF(ISNUMBER('OneStream Pulls'!P22),'OneStream Pulls'!P22,0)</f>
        <v>330320</v>
      </c>
      <c r="F22" t="str">
        <f>INDEX('User Inputs'!$I$3:$I$14,MATCH('OneStream Pulls'!G22,'User Inputs'!$G$3:$G$14,0))</f>
        <v>May</v>
      </c>
      <c r="G22" t="str">
        <f>LEFT('OneStream Pulls'!G22,4)</f>
        <v>2026</v>
      </c>
      <c r="H22">
        <f>'OneStream Pulls'!U22</f>
        <v>101718.16</v>
      </c>
    </row>
    <row r="23" spans="1:8">
      <c r="A23" s="12" t="str">
        <f t="shared" si="0"/>
        <v>111-170611020330360</v>
      </c>
      <c r="B23">
        <f>'OneStream Pulls'!C23</f>
        <v>111</v>
      </c>
      <c r="C23">
        <f>'OneStream Pulls'!M23</f>
        <v>170</v>
      </c>
      <c r="D23">
        <f>'OneStream Pulls'!I23</f>
        <v>611020</v>
      </c>
      <c r="E23" s="11">
        <f>IF(ISNUMBER('OneStream Pulls'!P23),'OneStream Pulls'!P23,0)</f>
        <v>330360</v>
      </c>
      <c r="F23" t="str">
        <f>INDEX('User Inputs'!$I$3:$I$14,MATCH('OneStream Pulls'!G23,'User Inputs'!$G$3:$G$14,0))</f>
        <v>May</v>
      </c>
      <c r="G23" t="str">
        <f>LEFT('OneStream Pulls'!G23,4)</f>
        <v>2026</v>
      </c>
      <c r="H23">
        <f>'OneStream Pulls'!U23</f>
        <v>0</v>
      </c>
    </row>
    <row r="24" spans="1:8">
      <c r="A24" s="12" t="str">
        <f t="shared" si="0"/>
        <v>111-170611020330370</v>
      </c>
      <c r="B24">
        <f>'OneStream Pulls'!C24</f>
        <v>111</v>
      </c>
      <c r="C24">
        <f>'OneStream Pulls'!M24</f>
        <v>170</v>
      </c>
      <c r="D24">
        <f>'OneStream Pulls'!I24</f>
        <v>611020</v>
      </c>
      <c r="E24" s="11">
        <f>IF(ISNUMBER('OneStream Pulls'!P24),'OneStream Pulls'!P24,0)</f>
        <v>330370</v>
      </c>
      <c r="F24" t="str">
        <f>INDEX('User Inputs'!$I$3:$I$14,MATCH('OneStream Pulls'!G24,'User Inputs'!$G$3:$G$14,0))</f>
        <v>May</v>
      </c>
      <c r="G24" t="str">
        <f>LEFT('OneStream Pulls'!G24,4)</f>
        <v>2026</v>
      </c>
      <c r="H24">
        <f>'OneStream Pulls'!U24</f>
        <v>0</v>
      </c>
    </row>
    <row r="25" spans="1:8">
      <c r="A25" s="12" t="str">
        <f t="shared" si="0"/>
        <v>111-170611020330310</v>
      </c>
      <c r="B25">
        <f>'OneStream Pulls'!C25</f>
        <v>111</v>
      </c>
      <c r="C25">
        <f>'OneStream Pulls'!M25</f>
        <v>170</v>
      </c>
      <c r="D25">
        <f>'OneStream Pulls'!I25</f>
        <v>611020</v>
      </c>
      <c r="E25" s="11">
        <f>IF(ISNUMBER('OneStream Pulls'!P25),'OneStream Pulls'!P25,0)</f>
        <v>330310</v>
      </c>
      <c r="F25" t="str">
        <f>INDEX('User Inputs'!$I$3:$I$14,MATCH('OneStream Pulls'!G25,'User Inputs'!$G$3:$G$14,0))</f>
        <v>May</v>
      </c>
      <c r="G25" t="str">
        <f>LEFT('OneStream Pulls'!G25,4)</f>
        <v>2026</v>
      </c>
      <c r="H25">
        <f>'OneStream Pulls'!U25</f>
        <v>0</v>
      </c>
    </row>
    <row r="26" spans="1:8">
      <c r="A26" s="12" t="str">
        <f t="shared" si="0"/>
        <v>111-170611020330380</v>
      </c>
      <c r="B26">
        <f>'OneStream Pulls'!C26</f>
        <v>111</v>
      </c>
      <c r="C26">
        <f>'OneStream Pulls'!M26</f>
        <v>170</v>
      </c>
      <c r="D26">
        <f>'OneStream Pulls'!I26</f>
        <v>611020</v>
      </c>
      <c r="E26" s="11">
        <f>IF(ISNUMBER('OneStream Pulls'!P26),'OneStream Pulls'!P26,0)</f>
        <v>330380</v>
      </c>
      <c r="F26" t="str">
        <f>INDEX('User Inputs'!$I$3:$I$14,MATCH('OneStream Pulls'!G26,'User Inputs'!$G$3:$G$14,0))</f>
        <v>May</v>
      </c>
      <c r="G26" t="str">
        <f>LEFT('OneStream Pulls'!G26,4)</f>
        <v>2026</v>
      </c>
      <c r="H26">
        <f>'OneStream Pulls'!U26</f>
        <v>0</v>
      </c>
    </row>
    <row r="27" spans="1:8">
      <c r="A27" s="12" t="str">
        <f t="shared" si="0"/>
        <v>111-170611030330420</v>
      </c>
      <c r="B27">
        <f>'OneStream Pulls'!C27</f>
        <v>111</v>
      </c>
      <c r="C27">
        <f>'OneStream Pulls'!M27</f>
        <v>170</v>
      </c>
      <c r="D27">
        <f>'OneStream Pulls'!I27</f>
        <v>611030</v>
      </c>
      <c r="E27" s="11">
        <f>IF(ISNUMBER('OneStream Pulls'!P27),'OneStream Pulls'!P27,0)</f>
        <v>330420</v>
      </c>
      <c r="F27" t="str">
        <f>INDEX('User Inputs'!$I$3:$I$14,MATCH('OneStream Pulls'!G27,'User Inputs'!$G$3:$G$14,0))</f>
        <v>May</v>
      </c>
      <c r="G27" t="str">
        <f>LEFT('OneStream Pulls'!G27,4)</f>
        <v>2026</v>
      </c>
      <c r="H27">
        <f>'OneStream Pulls'!U27</f>
        <v>0</v>
      </c>
    </row>
    <row r="28" spans="1:8">
      <c r="A28" s="12" t="str">
        <f t="shared" si="0"/>
        <v>111-170611030330430</v>
      </c>
      <c r="B28">
        <f>'OneStream Pulls'!C28</f>
        <v>111</v>
      </c>
      <c r="C28">
        <f>'OneStream Pulls'!M28</f>
        <v>170</v>
      </c>
      <c r="D28">
        <f>'OneStream Pulls'!I28</f>
        <v>611030</v>
      </c>
      <c r="E28" s="11">
        <f>IF(ISNUMBER('OneStream Pulls'!P28),'OneStream Pulls'!P28,0)</f>
        <v>330430</v>
      </c>
      <c r="F28" t="str">
        <f>INDEX('User Inputs'!$I$3:$I$14,MATCH('OneStream Pulls'!G28,'User Inputs'!$G$3:$G$14,0))</f>
        <v>May</v>
      </c>
      <c r="G28" t="str">
        <f>LEFT('OneStream Pulls'!G28,4)</f>
        <v>2026</v>
      </c>
      <c r="H28">
        <f>'OneStream Pulls'!U28</f>
        <v>15446.83</v>
      </c>
    </row>
    <row r="29" spans="1:8">
      <c r="A29" s="12" t="str">
        <f t="shared" si="0"/>
        <v>111-170611030330435</v>
      </c>
      <c r="B29">
        <f>'OneStream Pulls'!C29</f>
        <v>111</v>
      </c>
      <c r="C29">
        <f>'OneStream Pulls'!M29</f>
        <v>170</v>
      </c>
      <c r="D29">
        <f>'OneStream Pulls'!I29</f>
        <v>611030</v>
      </c>
      <c r="E29" s="11">
        <f>IF(ISNUMBER('OneStream Pulls'!P29),'OneStream Pulls'!P29,0)</f>
        <v>330435</v>
      </c>
      <c r="F29" t="str">
        <f>INDEX('User Inputs'!$I$3:$I$14,MATCH('OneStream Pulls'!G29,'User Inputs'!$G$3:$G$14,0))</f>
        <v>May</v>
      </c>
      <c r="G29" t="str">
        <f>LEFT('OneStream Pulls'!G29,4)</f>
        <v>2026</v>
      </c>
      <c r="H29">
        <f>'OneStream Pulls'!U29</f>
        <v>393468</v>
      </c>
    </row>
    <row r="30" spans="1:8">
      <c r="A30" s="12" t="str">
        <f t="shared" si="0"/>
        <v>111-170611030330440</v>
      </c>
      <c r="B30">
        <f>'OneStream Pulls'!C30</f>
        <v>111</v>
      </c>
      <c r="C30">
        <f>'OneStream Pulls'!M30</f>
        <v>170</v>
      </c>
      <c r="D30">
        <f>'OneStream Pulls'!I30</f>
        <v>611030</v>
      </c>
      <c r="E30" s="11">
        <f>IF(ISNUMBER('OneStream Pulls'!P30),'OneStream Pulls'!P30,0)</f>
        <v>330440</v>
      </c>
      <c r="F30" t="str">
        <f>INDEX('User Inputs'!$I$3:$I$14,MATCH('OneStream Pulls'!G30,'User Inputs'!$G$3:$G$14,0))</f>
        <v>May</v>
      </c>
      <c r="G30" t="str">
        <f>LEFT('OneStream Pulls'!G30,4)</f>
        <v>2026</v>
      </c>
      <c r="H30">
        <f>'OneStream Pulls'!U30</f>
        <v>192999.81</v>
      </c>
    </row>
    <row r="31" spans="1:8">
      <c r="A31" s="12" t="str">
        <f t="shared" si="0"/>
        <v>111-170611030330445</v>
      </c>
      <c r="B31">
        <f>'OneStream Pulls'!C31</f>
        <v>111</v>
      </c>
      <c r="C31">
        <f>'OneStream Pulls'!M31</f>
        <v>170</v>
      </c>
      <c r="D31">
        <f>'OneStream Pulls'!I31</f>
        <v>611030</v>
      </c>
      <c r="E31" s="11">
        <f>IF(ISNUMBER('OneStream Pulls'!P31),'OneStream Pulls'!P31,0)</f>
        <v>330445</v>
      </c>
      <c r="F31" t="str">
        <f>INDEX('User Inputs'!$I$3:$I$14,MATCH('OneStream Pulls'!G31,'User Inputs'!$G$3:$G$14,0))</f>
        <v>May</v>
      </c>
      <c r="G31" t="str">
        <f>LEFT('OneStream Pulls'!G31,4)</f>
        <v>2026</v>
      </c>
      <c r="H31">
        <f>'OneStream Pulls'!U31</f>
        <v>293900</v>
      </c>
    </row>
    <row r="32" spans="1:8">
      <c r="A32" s="12" t="str">
        <f t="shared" si="0"/>
        <v>111-170611030330410</v>
      </c>
      <c r="B32">
        <f>'OneStream Pulls'!C32</f>
        <v>111</v>
      </c>
      <c r="C32">
        <f>'OneStream Pulls'!M32</f>
        <v>170</v>
      </c>
      <c r="D32">
        <f>'OneStream Pulls'!I32</f>
        <v>611030</v>
      </c>
      <c r="E32" s="11">
        <f>IF(ISNUMBER('OneStream Pulls'!P32),'OneStream Pulls'!P32,0)</f>
        <v>330410</v>
      </c>
      <c r="F32" t="str">
        <f>INDEX('User Inputs'!$I$3:$I$14,MATCH('OneStream Pulls'!G32,'User Inputs'!$G$3:$G$14,0))</f>
        <v>May</v>
      </c>
      <c r="G32" t="str">
        <f>LEFT('OneStream Pulls'!G32,4)</f>
        <v>2026</v>
      </c>
      <c r="H32">
        <f>'OneStream Pulls'!U32</f>
        <v>0</v>
      </c>
    </row>
    <row r="33" spans="1:8">
      <c r="A33" s="12" t="str">
        <f t="shared" si="0"/>
        <v>111-170611040330450</v>
      </c>
      <c r="B33">
        <f>'OneStream Pulls'!C33</f>
        <v>111</v>
      </c>
      <c r="C33">
        <f>'OneStream Pulls'!M33</f>
        <v>170</v>
      </c>
      <c r="D33">
        <f>'OneStream Pulls'!I33</f>
        <v>611040</v>
      </c>
      <c r="E33" s="11">
        <f>IF(ISNUMBER('OneStream Pulls'!P33),'OneStream Pulls'!P33,0)</f>
        <v>330450</v>
      </c>
      <c r="F33" t="str">
        <f>INDEX('User Inputs'!$I$3:$I$14,MATCH('OneStream Pulls'!G33,'User Inputs'!$G$3:$G$14,0))</f>
        <v>May</v>
      </c>
      <c r="G33" t="str">
        <f>LEFT('OneStream Pulls'!G33,4)</f>
        <v>2026</v>
      </c>
      <c r="H33">
        <f>'OneStream Pulls'!U33</f>
        <v>43750</v>
      </c>
    </row>
    <row r="34" spans="1:8">
      <c r="A34" s="12" t="str">
        <f t="shared" si="0"/>
        <v>111-170611588330915</v>
      </c>
      <c r="B34">
        <f>'OneStream Pulls'!C34</f>
        <v>111</v>
      </c>
      <c r="C34">
        <f>'OneStream Pulls'!M34</f>
        <v>170</v>
      </c>
      <c r="D34">
        <f>'OneStream Pulls'!I34</f>
        <v>611588</v>
      </c>
      <c r="E34" s="11">
        <f>IF(ISNUMBER('OneStream Pulls'!P34),'OneStream Pulls'!P34,0)</f>
        <v>330915</v>
      </c>
      <c r="F34" t="str">
        <f>INDEX('User Inputs'!$I$3:$I$14,MATCH('OneStream Pulls'!G34,'User Inputs'!$G$3:$G$14,0))</f>
        <v>May</v>
      </c>
      <c r="G34" t="str">
        <f>LEFT('OneStream Pulls'!G34,4)</f>
        <v>2026</v>
      </c>
      <c r="H34">
        <f>'OneStream Pulls'!U34</f>
        <v>0</v>
      </c>
    </row>
    <row r="35" spans="1:8">
      <c r="A35" s="12" t="str">
        <f t="shared" si="0"/>
        <v>111-170614100330500</v>
      </c>
      <c r="B35">
        <f>'OneStream Pulls'!C35</f>
        <v>111</v>
      </c>
      <c r="C35">
        <f>'OneStream Pulls'!M35</f>
        <v>170</v>
      </c>
      <c r="D35">
        <f>'OneStream Pulls'!I35</f>
        <v>614100</v>
      </c>
      <c r="E35" s="11">
        <f>IF(ISNUMBER('OneStream Pulls'!P35),'OneStream Pulls'!P35,0)</f>
        <v>330500</v>
      </c>
      <c r="F35" t="str">
        <f>INDEX('User Inputs'!$I$3:$I$14,MATCH('OneStream Pulls'!G35,'User Inputs'!$G$3:$G$14,0))</f>
        <v>May</v>
      </c>
      <c r="G35" t="str">
        <f>LEFT('OneStream Pulls'!G35,4)</f>
        <v>2026</v>
      </c>
      <c r="H35">
        <f>'OneStream Pulls'!U35</f>
        <v>0</v>
      </c>
    </row>
    <row r="36" spans="1:8">
      <c r="A36" s="12" t="str">
        <f t="shared" si="0"/>
        <v>111-170614200330610</v>
      </c>
      <c r="B36">
        <f>'OneStream Pulls'!C36</f>
        <v>111</v>
      </c>
      <c r="C36">
        <f>'OneStream Pulls'!M36</f>
        <v>170</v>
      </c>
      <c r="D36">
        <f>'OneStream Pulls'!I36</f>
        <v>614200</v>
      </c>
      <c r="E36" s="11">
        <f>IF(ISNUMBER('OneStream Pulls'!P36),'OneStream Pulls'!P36,0)</f>
        <v>330610</v>
      </c>
      <c r="F36" t="str">
        <f>INDEX('User Inputs'!$I$3:$I$14,MATCH('OneStream Pulls'!G36,'User Inputs'!$G$3:$G$14,0))</f>
        <v>May</v>
      </c>
      <c r="G36" t="str">
        <f>LEFT('OneStream Pulls'!G36,4)</f>
        <v>2026</v>
      </c>
      <c r="H36">
        <f>'OneStream Pulls'!U36</f>
        <v>0</v>
      </c>
    </row>
    <row r="37" spans="1:8">
      <c r="A37" s="12" t="str">
        <f t="shared" si="0"/>
        <v>111-170614200330600</v>
      </c>
      <c r="B37">
        <f>'OneStream Pulls'!C37</f>
        <v>111</v>
      </c>
      <c r="C37">
        <f>'OneStream Pulls'!M37</f>
        <v>170</v>
      </c>
      <c r="D37">
        <f>'OneStream Pulls'!I37</f>
        <v>614200</v>
      </c>
      <c r="E37" s="11">
        <f>IF(ISNUMBER('OneStream Pulls'!P37),'OneStream Pulls'!P37,0)</f>
        <v>330600</v>
      </c>
      <c r="F37" t="str">
        <f>INDEX('User Inputs'!$I$3:$I$14,MATCH('OneStream Pulls'!G37,'User Inputs'!$G$3:$G$14,0))</f>
        <v>May</v>
      </c>
      <c r="G37" t="str">
        <f>LEFT('OneStream Pulls'!G37,4)</f>
        <v>2026</v>
      </c>
      <c r="H37">
        <f>'OneStream Pulls'!U37</f>
        <v>0</v>
      </c>
    </row>
    <row r="38" spans="1:8">
      <c r="A38" s="12" t="str">
        <f t="shared" si="0"/>
        <v>111-170614200330620</v>
      </c>
      <c r="B38">
        <f>'OneStream Pulls'!C38</f>
        <v>111</v>
      </c>
      <c r="C38">
        <f>'OneStream Pulls'!M38</f>
        <v>170</v>
      </c>
      <c r="D38">
        <f>'OneStream Pulls'!I38</f>
        <v>614200</v>
      </c>
      <c r="E38" s="11">
        <f>IF(ISNUMBER('OneStream Pulls'!P38),'OneStream Pulls'!P38,0)</f>
        <v>330620</v>
      </c>
      <c r="F38" t="str">
        <f>INDEX('User Inputs'!$I$3:$I$14,MATCH('OneStream Pulls'!G38,'User Inputs'!$G$3:$G$14,0))</f>
        <v>May</v>
      </c>
      <c r="G38" t="str">
        <f>LEFT('OneStream Pulls'!G38,4)</f>
        <v>2026</v>
      </c>
      <c r="H38">
        <f>'OneStream Pulls'!U38</f>
        <v>0</v>
      </c>
    </row>
    <row r="39" spans="1:8">
      <c r="A39" s="12" t="str">
        <f t="shared" si="0"/>
        <v>111-170614200330630</v>
      </c>
      <c r="B39">
        <f>'OneStream Pulls'!C39</f>
        <v>111</v>
      </c>
      <c r="C39">
        <f>'OneStream Pulls'!M39</f>
        <v>170</v>
      </c>
      <c r="D39">
        <f>'OneStream Pulls'!I39</f>
        <v>614200</v>
      </c>
      <c r="E39" s="11">
        <f>IF(ISNUMBER('OneStream Pulls'!P39),'OneStream Pulls'!P39,0)</f>
        <v>330630</v>
      </c>
      <c r="F39" t="str">
        <f>INDEX('User Inputs'!$I$3:$I$14,MATCH('OneStream Pulls'!G39,'User Inputs'!$G$3:$G$14,0))</f>
        <v>May</v>
      </c>
      <c r="G39" t="str">
        <f>LEFT('OneStream Pulls'!G39,4)</f>
        <v>2026</v>
      </c>
      <c r="H39">
        <f>'OneStream Pulls'!U39</f>
        <v>0</v>
      </c>
    </row>
    <row r="40" spans="1:8">
      <c r="A40" s="12" t="str">
        <f t="shared" si="0"/>
        <v>111-170616000330710</v>
      </c>
      <c r="B40">
        <f>'OneStream Pulls'!C40</f>
        <v>111</v>
      </c>
      <c r="C40">
        <f>'OneStream Pulls'!M40</f>
        <v>170</v>
      </c>
      <c r="D40">
        <f>'OneStream Pulls'!I40</f>
        <v>616000</v>
      </c>
      <c r="E40" s="11">
        <f>IF(ISNUMBER('OneStream Pulls'!P40),'OneStream Pulls'!P40,0)</f>
        <v>330710</v>
      </c>
      <c r="F40" t="str">
        <f>INDEX('User Inputs'!$I$3:$I$14,MATCH('OneStream Pulls'!G40,'User Inputs'!$G$3:$G$14,0))</f>
        <v>May</v>
      </c>
      <c r="G40" t="str">
        <f>LEFT('OneStream Pulls'!G40,4)</f>
        <v>2026</v>
      </c>
      <c r="H40">
        <f>'OneStream Pulls'!U40</f>
        <v>0</v>
      </c>
    </row>
    <row r="41" spans="1:8">
      <c r="A41" s="12" t="str">
        <f t="shared" si="0"/>
        <v>111-170616000330700</v>
      </c>
      <c r="B41">
        <f>'OneStream Pulls'!C41</f>
        <v>111</v>
      </c>
      <c r="C41">
        <f>'OneStream Pulls'!M41</f>
        <v>170</v>
      </c>
      <c r="D41">
        <f>'OneStream Pulls'!I41</f>
        <v>616000</v>
      </c>
      <c r="E41" s="11">
        <f>IF(ISNUMBER('OneStream Pulls'!P41),'OneStream Pulls'!P41,0)</f>
        <v>330700</v>
      </c>
      <c r="F41" t="str">
        <f>INDEX('User Inputs'!$I$3:$I$14,MATCH('OneStream Pulls'!G41,'User Inputs'!$G$3:$G$14,0))</f>
        <v>May</v>
      </c>
      <c r="G41" t="str">
        <f>LEFT('OneStream Pulls'!G41,4)</f>
        <v>2026</v>
      </c>
      <c r="H41">
        <f>'OneStream Pulls'!U41</f>
        <v>0</v>
      </c>
    </row>
    <row r="42" spans="1:8">
      <c r="A42" s="12" t="str">
        <f t="shared" si="0"/>
        <v>111-170618000330800</v>
      </c>
      <c r="B42">
        <f>'OneStream Pulls'!C42</f>
        <v>111</v>
      </c>
      <c r="C42">
        <f>'OneStream Pulls'!M42</f>
        <v>170</v>
      </c>
      <c r="D42">
        <f>'OneStream Pulls'!I42</f>
        <v>618000</v>
      </c>
      <c r="E42" s="11">
        <f>IF(ISNUMBER('OneStream Pulls'!P42),'OneStream Pulls'!P42,0)</f>
        <v>330800</v>
      </c>
      <c r="F42" t="str">
        <f>INDEX('User Inputs'!$I$3:$I$14,MATCH('OneStream Pulls'!G42,'User Inputs'!$G$3:$G$14,0))</f>
        <v>May</v>
      </c>
      <c r="G42" t="str">
        <f>LEFT('OneStream Pulls'!G42,4)</f>
        <v>2026</v>
      </c>
      <c r="H42">
        <f>'OneStream Pulls'!U42</f>
        <v>0</v>
      </c>
    </row>
    <row r="43" spans="1:8">
      <c r="A43" s="12" t="str">
        <f t="shared" si="0"/>
        <v>111-170618050330900</v>
      </c>
      <c r="B43">
        <f>'OneStream Pulls'!C43</f>
        <v>111</v>
      </c>
      <c r="C43">
        <f>'OneStream Pulls'!M43</f>
        <v>170</v>
      </c>
      <c r="D43">
        <f>'OneStream Pulls'!I43</f>
        <v>618050</v>
      </c>
      <c r="E43" s="11">
        <f>IF(ISNUMBER('OneStream Pulls'!P43),'OneStream Pulls'!P43,0)</f>
        <v>330900</v>
      </c>
      <c r="F43" t="str">
        <f>INDEX('User Inputs'!$I$3:$I$14,MATCH('OneStream Pulls'!G43,'User Inputs'!$G$3:$G$14,0))</f>
        <v>May</v>
      </c>
      <c r="G43" t="str">
        <f>LEFT('OneStream Pulls'!G43,4)</f>
        <v>2026</v>
      </c>
      <c r="H43">
        <f>'OneStream Pulls'!U43</f>
        <v>0</v>
      </c>
    </row>
    <row r="44" spans="1:8">
      <c r="A44" s="12" t="str">
        <f t="shared" si="0"/>
        <v>111-170618050330910</v>
      </c>
      <c r="B44">
        <f>'OneStream Pulls'!C44</f>
        <v>111</v>
      </c>
      <c r="C44">
        <f>'OneStream Pulls'!M44</f>
        <v>170</v>
      </c>
      <c r="D44">
        <f>'OneStream Pulls'!I44</f>
        <v>618050</v>
      </c>
      <c r="E44" s="11">
        <f>IF(ISNUMBER('OneStream Pulls'!P44),'OneStream Pulls'!P44,0)</f>
        <v>330910</v>
      </c>
      <c r="F44" t="str">
        <f>INDEX('User Inputs'!$I$3:$I$14,MATCH('OneStream Pulls'!G44,'User Inputs'!$G$3:$G$14,0))</f>
        <v>May</v>
      </c>
      <c r="G44" t="str">
        <f>LEFT('OneStream Pulls'!G44,4)</f>
        <v>2026</v>
      </c>
      <c r="H44">
        <f>'OneStream Pulls'!U44</f>
        <v>0</v>
      </c>
    </row>
    <row r="45" spans="1:8">
      <c r="A45" s="12" t="str">
        <f t="shared" si="0"/>
        <v>111-170618200330920</v>
      </c>
      <c r="B45">
        <f>'OneStream Pulls'!C45</f>
        <v>111</v>
      </c>
      <c r="C45">
        <f>'OneStream Pulls'!M45</f>
        <v>170</v>
      </c>
      <c r="D45">
        <f>'OneStream Pulls'!I45</f>
        <v>618200</v>
      </c>
      <c r="E45" s="11">
        <f>IF(ISNUMBER('OneStream Pulls'!P45),'OneStream Pulls'!P45,0)</f>
        <v>330920</v>
      </c>
      <c r="F45" t="str">
        <f>INDEX('User Inputs'!$I$3:$I$14,MATCH('OneStream Pulls'!G45,'User Inputs'!$G$3:$G$14,0))</f>
        <v>May</v>
      </c>
      <c r="G45" t="str">
        <f>LEFT('OneStream Pulls'!G45,4)</f>
        <v>2026</v>
      </c>
      <c r="H45">
        <f>'OneStream Pulls'!U45</f>
        <v>0</v>
      </c>
    </row>
    <row r="46" spans="1:8">
      <c r="A46" s="12" t="str">
        <f t="shared" si="0"/>
        <v>111-170618250331020</v>
      </c>
      <c r="B46">
        <f>'OneStream Pulls'!C46</f>
        <v>111</v>
      </c>
      <c r="C46">
        <f>'OneStream Pulls'!M46</f>
        <v>170</v>
      </c>
      <c r="D46">
        <f>'OneStream Pulls'!I46</f>
        <v>618250</v>
      </c>
      <c r="E46" s="11">
        <f>IF(ISNUMBER('OneStream Pulls'!P46),'OneStream Pulls'!P46,0)</f>
        <v>331020</v>
      </c>
      <c r="F46" t="str">
        <f>INDEX('User Inputs'!$I$3:$I$14,MATCH('OneStream Pulls'!G46,'User Inputs'!$G$3:$G$14,0))</f>
        <v>May</v>
      </c>
      <c r="G46" t="str">
        <f>LEFT('OneStream Pulls'!G46,4)</f>
        <v>2026</v>
      </c>
      <c r="H46">
        <f>'OneStream Pulls'!U46</f>
        <v>0</v>
      </c>
    </row>
    <row r="47" spans="1:8">
      <c r="A47" s="12" t="str">
        <f t="shared" si="0"/>
        <v>111-170618250331000</v>
      </c>
      <c r="B47">
        <f>'OneStream Pulls'!C47</f>
        <v>111</v>
      </c>
      <c r="C47">
        <f>'OneStream Pulls'!M47</f>
        <v>170</v>
      </c>
      <c r="D47">
        <f>'OneStream Pulls'!I47</f>
        <v>618250</v>
      </c>
      <c r="E47" s="11">
        <f>IF(ISNUMBER('OneStream Pulls'!P47),'OneStream Pulls'!P47,0)</f>
        <v>331000</v>
      </c>
      <c r="F47" t="str">
        <f>INDEX('User Inputs'!$I$3:$I$14,MATCH('OneStream Pulls'!G47,'User Inputs'!$G$3:$G$14,0))</f>
        <v>May</v>
      </c>
      <c r="G47" t="str">
        <f>LEFT('OneStream Pulls'!G47,4)</f>
        <v>2026</v>
      </c>
      <c r="H47">
        <f>'OneStream Pulls'!U47</f>
        <v>246342</v>
      </c>
    </row>
    <row r="48" spans="1:8">
      <c r="A48" s="12" t="str">
        <f t="shared" si="0"/>
        <v>111-170618250331050</v>
      </c>
      <c r="B48">
        <f>'OneStream Pulls'!C48</f>
        <v>111</v>
      </c>
      <c r="C48">
        <f>'OneStream Pulls'!M48</f>
        <v>170</v>
      </c>
      <c r="D48">
        <f>'OneStream Pulls'!I48</f>
        <v>618250</v>
      </c>
      <c r="E48" s="11">
        <f>IF(ISNUMBER('OneStream Pulls'!P48),'OneStream Pulls'!P48,0)</f>
        <v>331050</v>
      </c>
      <c r="F48" t="str">
        <f>INDEX('User Inputs'!$I$3:$I$14,MATCH('OneStream Pulls'!G48,'User Inputs'!$G$3:$G$14,0))</f>
        <v>May</v>
      </c>
      <c r="G48" t="str">
        <f>LEFT('OneStream Pulls'!G48,4)</f>
        <v>2026</v>
      </c>
      <c r="H48">
        <f>'OneStream Pulls'!U48</f>
        <v>1858762.99</v>
      </c>
    </row>
    <row r="49" spans="1:8">
      <c r="A49" s="12" t="str">
        <f t="shared" si="0"/>
        <v>111-170618250331040</v>
      </c>
      <c r="B49">
        <f>'OneStream Pulls'!C49</f>
        <v>111</v>
      </c>
      <c r="C49">
        <f>'OneStream Pulls'!M49</f>
        <v>170</v>
      </c>
      <c r="D49">
        <f>'OneStream Pulls'!I49</f>
        <v>618250</v>
      </c>
      <c r="E49" s="11">
        <f>IF(ISNUMBER('OneStream Pulls'!P49),'OneStream Pulls'!P49,0)</f>
        <v>331040</v>
      </c>
      <c r="F49" t="str">
        <f>INDEX('User Inputs'!$I$3:$I$14,MATCH('OneStream Pulls'!G49,'User Inputs'!$G$3:$G$14,0))</f>
        <v>May</v>
      </c>
      <c r="G49" t="str">
        <f>LEFT('OneStream Pulls'!G49,4)</f>
        <v>2026</v>
      </c>
      <c r="H49">
        <f>'OneStream Pulls'!U49</f>
        <v>0</v>
      </c>
    </row>
    <row r="50" spans="1:8">
      <c r="A50" s="12" t="str">
        <f t="shared" si="0"/>
        <v>111-170618250331030</v>
      </c>
      <c r="B50">
        <f>'OneStream Pulls'!C50</f>
        <v>111</v>
      </c>
      <c r="C50">
        <f>'OneStream Pulls'!M50</f>
        <v>170</v>
      </c>
      <c r="D50">
        <f>'OneStream Pulls'!I50</f>
        <v>618250</v>
      </c>
      <c r="E50" s="11">
        <f>IF(ISNUMBER('OneStream Pulls'!P50),'OneStream Pulls'!P50,0)</f>
        <v>331030</v>
      </c>
      <c r="F50" t="str">
        <f>INDEX('User Inputs'!$I$3:$I$14,MATCH('OneStream Pulls'!G50,'User Inputs'!$G$3:$G$14,0))</f>
        <v>May</v>
      </c>
      <c r="G50" t="str">
        <f>LEFT('OneStream Pulls'!G50,4)</f>
        <v>2026</v>
      </c>
      <c r="H50">
        <f>'OneStream Pulls'!U50</f>
        <v>64480</v>
      </c>
    </row>
    <row r="51" spans="1:8">
      <c r="A51" s="12" t="str">
        <f t="shared" si="0"/>
        <v>111-170618250331010</v>
      </c>
      <c r="B51">
        <f>'OneStream Pulls'!C51</f>
        <v>111</v>
      </c>
      <c r="C51">
        <f>'OneStream Pulls'!M51</f>
        <v>170</v>
      </c>
      <c r="D51">
        <f>'OneStream Pulls'!I51</f>
        <v>618250</v>
      </c>
      <c r="E51" s="11">
        <f>IF(ISNUMBER('OneStream Pulls'!P51),'OneStream Pulls'!P51,0)</f>
        <v>331010</v>
      </c>
      <c r="F51" t="str">
        <f>INDEX('User Inputs'!$I$3:$I$14,MATCH('OneStream Pulls'!G51,'User Inputs'!$G$3:$G$14,0))</f>
        <v>May</v>
      </c>
      <c r="G51" t="str">
        <f>LEFT('OneStream Pulls'!G51,4)</f>
        <v>2026</v>
      </c>
      <c r="H51">
        <f>'OneStream Pulls'!U51</f>
        <v>0</v>
      </c>
    </row>
    <row r="52" spans="1:8">
      <c r="A52" s="12" t="str">
        <f t="shared" si="0"/>
        <v>111-170618300331200</v>
      </c>
      <c r="B52">
        <f>'OneStream Pulls'!C52</f>
        <v>111</v>
      </c>
      <c r="C52">
        <f>'OneStream Pulls'!M52</f>
        <v>170</v>
      </c>
      <c r="D52">
        <f>'OneStream Pulls'!I52</f>
        <v>618300</v>
      </c>
      <c r="E52" s="11">
        <f>IF(ISNUMBER('OneStream Pulls'!P52),'OneStream Pulls'!P52,0)</f>
        <v>331200</v>
      </c>
      <c r="F52" t="str">
        <f>INDEX('User Inputs'!$I$3:$I$14,MATCH('OneStream Pulls'!G52,'User Inputs'!$G$3:$G$14,0))</f>
        <v>May</v>
      </c>
      <c r="G52" t="str">
        <f>LEFT('OneStream Pulls'!G52,4)</f>
        <v>2026</v>
      </c>
      <c r="H52">
        <f>'OneStream Pulls'!U52</f>
        <v>385000</v>
      </c>
    </row>
    <row r="53" spans="1:8">
      <c r="A53" s="12" t="str">
        <f t="shared" si="0"/>
        <v>111-170618300331240</v>
      </c>
      <c r="B53">
        <f>'OneStream Pulls'!C53</f>
        <v>111</v>
      </c>
      <c r="C53">
        <f>'OneStream Pulls'!M53</f>
        <v>170</v>
      </c>
      <c r="D53">
        <f>'OneStream Pulls'!I53</f>
        <v>618300</v>
      </c>
      <c r="E53" s="11">
        <f>IF(ISNUMBER('OneStream Pulls'!P53),'OneStream Pulls'!P53,0)</f>
        <v>331240</v>
      </c>
      <c r="F53" t="str">
        <f>INDEX('User Inputs'!$I$3:$I$14,MATCH('OneStream Pulls'!G53,'User Inputs'!$G$3:$G$14,0))</f>
        <v>May</v>
      </c>
      <c r="G53" t="str">
        <f>LEFT('OneStream Pulls'!G53,4)</f>
        <v>2026</v>
      </c>
      <c r="H53">
        <f>'OneStream Pulls'!U53</f>
        <v>0</v>
      </c>
    </row>
    <row r="54" spans="1:8">
      <c r="A54" s="12" t="str">
        <f t="shared" si="0"/>
        <v>111-170618300331230</v>
      </c>
      <c r="B54">
        <f>'OneStream Pulls'!C54</f>
        <v>111</v>
      </c>
      <c r="C54">
        <f>'OneStream Pulls'!M54</f>
        <v>170</v>
      </c>
      <c r="D54">
        <f>'OneStream Pulls'!I54</f>
        <v>618300</v>
      </c>
      <c r="E54" s="11">
        <f>IF(ISNUMBER('OneStream Pulls'!P54),'OneStream Pulls'!P54,0)</f>
        <v>331230</v>
      </c>
      <c r="F54" t="str">
        <f>INDEX('User Inputs'!$I$3:$I$14,MATCH('OneStream Pulls'!G54,'User Inputs'!$G$3:$G$14,0))</f>
        <v>May</v>
      </c>
      <c r="G54" t="str">
        <f>LEFT('OneStream Pulls'!G54,4)</f>
        <v>2026</v>
      </c>
      <c r="H54">
        <f>'OneStream Pulls'!U54</f>
        <v>0</v>
      </c>
    </row>
    <row r="55" spans="1:8">
      <c r="A55" s="12" t="str">
        <f t="shared" si="0"/>
        <v>111-170618300331220</v>
      </c>
      <c r="B55">
        <f>'OneStream Pulls'!C55</f>
        <v>111</v>
      </c>
      <c r="C55">
        <f>'OneStream Pulls'!M55</f>
        <v>170</v>
      </c>
      <c r="D55">
        <f>'OneStream Pulls'!I55</f>
        <v>618300</v>
      </c>
      <c r="E55" s="11">
        <f>IF(ISNUMBER('OneStream Pulls'!P55),'OneStream Pulls'!P55,0)</f>
        <v>331220</v>
      </c>
      <c r="F55" t="str">
        <f>INDEX('User Inputs'!$I$3:$I$14,MATCH('OneStream Pulls'!G55,'User Inputs'!$G$3:$G$14,0))</f>
        <v>May</v>
      </c>
      <c r="G55" t="str">
        <f>LEFT('OneStream Pulls'!G55,4)</f>
        <v>2026</v>
      </c>
      <c r="H55">
        <f>'OneStream Pulls'!U55</f>
        <v>0</v>
      </c>
    </row>
    <row r="56" spans="1:8">
      <c r="A56" s="12" t="str">
        <f t="shared" si="0"/>
        <v>111-170618300331210</v>
      </c>
      <c r="B56">
        <f>'OneStream Pulls'!C56</f>
        <v>111</v>
      </c>
      <c r="C56">
        <f>'OneStream Pulls'!M56</f>
        <v>170</v>
      </c>
      <c r="D56">
        <f>'OneStream Pulls'!I56</f>
        <v>618300</v>
      </c>
      <c r="E56" s="11">
        <f>IF(ISNUMBER('OneStream Pulls'!P56),'OneStream Pulls'!P56,0)</f>
        <v>331210</v>
      </c>
      <c r="F56" t="str">
        <f>INDEX('User Inputs'!$I$3:$I$14,MATCH('OneStream Pulls'!G56,'User Inputs'!$G$3:$G$14,0))</f>
        <v>May</v>
      </c>
      <c r="G56" t="str">
        <f>LEFT('OneStream Pulls'!G56,4)</f>
        <v>2026</v>
      </c>
      <c r="H56">
        <f>'OneStream Pulls'!U56</f>
        <v>0</v>
      </c>
    </row>
    <row r="57" spans="1:8">
      <c r="A57" s="12" t="str">
        <f t="shared" si="0"/>
        <v>111-170618300331250</v>
      </c>
      <c r="B57">
        <f>'OneStream Pulls'!C57</f>
        <v>111</v>
      </c>
      <c r="C57">
        <f>'OneStream Pulls'!M57</f>
        <v>170</v>
      </c>
      <c r="D57">
        <f>'OneStream Pulls'!I57</f>
        <v>618300</v>
      </c>
      <c r="E57" s="11">
        <f>IF(ISNUMBER('OneStream Pulls'!P57),'OneStream Pulls'!P57,0)</f>
        <v>331250</v>
      </c>
      <c r="F57" t="str">
        <f>INDEX('User Inputs'!$I$3:$I$14,MATCH('OneStream Pulls'!G57,'User Inputs'!$G$3:$G$14,0))</f>
        <v>May</v>
      </c>
      <c r="G57" t="str">
        <f>LEFT('OneStream Pulls'!G57,4)</f>
        <v>2026</v>
      </c>
      <c r="H57">
        <f>'OneStream Pulls'!U57</f>
        <v>0</v>
      </c>
    </row>
    <row r="58" spans="1:8">
      <c r="A58" s="12" t="str">
        <f t="shared" si="0"/>
        <v>111-170618350331300</v>
      </c>
      <c r="B58">
        <f>'OneStream Pulls'!C58</f>
        <v>111</v>
      </c>
      <c r="C58">
        <f>'OneStream Pulls'!M58</f>
        <v>170</v>
      </c>
      <c r="D58">
        <f>'OneStream Pulls'!I58</f>
        <v>618350</v>
      </c>
      <c r="E58" s="11">
        <f>IF(ISNUMBER('OneStream Pulls'!P58),'OneStream Pulls'!P58,0)</f>
        <v>331300</v>
      </c>
      <c r="F58" t="str">
        <f>INDEX('User Inputs'!$I$3:$I$14,MATCH('OneStream Pulls'!G58,'User Inputs'!$G$3:$G$14,0))</f>
        <v>May</v>
      </c>
      <c r="G58" t="str">
        <f>LEFT('OneStream Pulls'!G58,4)</f>
        <v>2026</v>
      </c>
      <c r="H58">
        <f>'OneStream Pulls'!U58</f>
        <v>0</v>
      </c>
    </row>
    <row r="59" spans="1:8">
      <c r="A59" s="10" t="str">
        <f t="shared" si="0"/>
        <v>111-1706260880</v>
      </c>
      <c r="B59">
        <f>'OneStream Pulls'!C59</f>
        <v>111</v>
      </c>
      <c r="C59">
        <f>'OneStream Pulls'!M59</f>
        <v>170</v>
      </c>
      <c r="D59">
        <f>'OneStream Pulls'!I59</f>
        <v>626088</v>
      </c>
      <c r="E59" s="11">
        <f>IF(ISNUMBER('OneStream Pulls'!P59),'OneStream Pulls'!P59,0)</f>
        <v>0</v>
      </c>
      <c r="F59" t="str">
        <f>INDEX('User Inputs'!$I$3:$I$14,MATCH('OneStream Pulls'!G59,'User Inputs'!$G$3:$G$14,0))</f>
        <v>May</v>
      </c>
      <c r="G59" t="str">
        <f>LEFT('OneStream Pulls'!G59,4)</f>
        <v>2026</v>
      </c>
      <c r="H59">
        <f>'OneStream Pulls'!U59</f>
        <v>0</v>
      </c>
    </row>
    <row r="60" spans="1:8">
      <c r="A60" s="12" t="str">
        <f t="shared" si="0"/>
        <v>111-170629999331100</v>
      </c>
      <c r="B60">
        <f>'OneStream Pulls'!C60</f>
        <v>111</v>
      </c>
      <c r="C60">
        <f>'OneStream Pulls'!M60</f>
        <v>170</v>
      </c>
      <c r="D60">
        <f>'OneStream Pulls'!I60</f>
        <v>629999</v>
      </c>
      <c r="E60" s="11">
        <f>IF(ISNUMBER('OneStream Pulls'!P60),'OneStream Pulls'!P60,0)</f>
        <v>331100</v>
      </c>
      <c r="F60" t="str">
        <f>INDEX('User Inputs'!$I$3:$I$14,MATCH('OneStream Pulls'!G60,'User Inputs'!$G$3:$G$14,0))</f>
        <v>May</v>
      </c>
      <c r="G60" t="str">
        <f>LEFT('OneStream Pulls'!G60,4)</f>
        <v>2026</v>
      </c>
      <c r="H60">
        <f>'OneStream Pulls'!U60</f>
        <v>0</v>
      </c>
    </row>
    <row r="61" spans="1:8">
      <c r="A61" s="12" t="str">
        <f t="shared" si="0"/>
        <v>111-171611000330130</v>
      </c>
      <c r="B61">
        <f>'OneStream Pulls'!C61</f>
        <v>111</v>
      </c>
      <c r="C61">
        <f>'OneStream Pulls'!M61</f>
        <v>171</v>
      </c>
      <c r="D61">
        <f>'OneStream Pulls'!I61</f>
        <v>611000</v>
      </c>
      <c r="E61" s="11">
        <f>IF(ISNUMBER('OneStream Pulls'!P61),'OneStream Pulls'!P61,0)</f>
        <v>330130</v>
      </c>
      <c r="F61" t="str">
        <f>INDEX('User Inputs'!$I$3:$I$14,MATCH('OneStream Pulls'!G61,'User Inputs'!$G$3:$G$14,0))</f>
        <v>May</v>
      </c>
      <c r="G61" t="str">
        <f>LEFT('OneStream Pulls'!G61,4)</f>
        <v>2026</v>
      </c>
      <c r="H61">
        <f>'OneStream Pulls'!U61</f>
        <v>0</v>
      </c>
    </row>
    <row r="62" spans="1:8">
      <c r="A62" s="12" t="str">
        <f t="shared" si="0"/>
        <v>111-171611000330160</v>
      </c>
      <c r="B62">
        <f>'OneStream Pulls'!C62</f>
        <v>111</v>
      </c>
      <c r="C62">
        <f>'OneStream Pulls'!M62</f>
        <v>171</v>
      </c>
      <c r="D62">
        <f>'OneStream Pulls'!I62</f>
        <v>611000</v>
      </c>
      <c r="E62" s="11">
        <f>IF(ISNUMBER('OneStream Pulls'!P62),'OneStream Pulls'!P62,0)</f>
        <v>330160</v>
      </c>
      <c r="F62" t="str">
        <f>INDEX('User Inputs'!$I$3:$I$14,MATCH('OneStream Pulls'!G62,'User Inputs'!$G$3:$G$14,0))</f>
        <v>May</v>
      </c>
      <c r="G62" t="str">
        <f>LEFT('OneStream Pulls'!G62,4)</f>
        <v>2026</v>
      </c>
      <c r="H62">
        <f>'OneStream Pulls'!U62</f>
        <v>0</v>
      </c>
    </row>
    <row r="63" spans="1:8">
      <c r="A63" s="12" t="str">
        <f t="shared" si="0"/>
        <v>111-171611000330170</v>
      </c>
      <c r="B63">
        <f>'OneStream Pulls'!C63</f>
        <v>111</v>
      </c>
      <c r="C63">
        <f>'OneStream Pulls'!M63</f>
        <v>171</v>
      </c>
      <c r="D63">
        <f>'OneStream Pulls'!I63</f>
        <v>611000</v>
      </c>
      <c r="E63" s="11">
        <f>IF(ISNUMBER('OneStream Pulls'!P63),'OneStream Pulls'!P63,0)</f>
        <v>330170</v>
      </c>
      <c r="F63" t="str">
        <f>INDEX('User Inputs'!$I$3:$I$14,MATCH('OneStream Pulls'!G63,'User Inputs'!$G$3:$G$14,0))</f>
        <v>May</v>
      </c>
      <c r="G63" t="str">
        <f>LEFT('OneStream Pulls'!G63,4)</f>
        <v>2026</v>
      </c>
      <c r="H63">
        <f>'OneStream Pulls'!U63</f>
        <v>0</v>
      </c>
    </row>
    <row r="64" spans="1:8">
      <c r="A64" s="12" t="str">
        <f t="shared" si="0"/>
        <v>111-171611000330120</v>
      </c>
      <c r="B64">
        <f>'OneStream Pulls'!C64</f>
        <v>111</v>
      </c>
      <c r="C64">
        <f>'OneStream Pulls'!M64</f>
        <v>171</v>
      </c>
      <c r="D64">
        <f>'OneStream Pulls'!I64</f>
        <v>611000</v>
      </c>
      <c r="E64" s="11">
        <f>IF(ISNUMBER('OneStream Pulls'!P64),'OneStream Pulls'!P64,0)</f>
        <v>330120</v>
      </c>
      <c r="F64" t="str">
        <f>INDEX('User Inputs'!$I$3:$I$14,MATCH('OneStream Pulls'!G64,'User Inputs'!$G$3:$G$14,0))</f>
        <v>May</v>
      </c>
      <c r="G64" t="str">
        <f>LEFT('OneStream Pulls'!G64,4)</f>
        <v>2026</v>
      </c>
      <c r="H64">
        <f>'OneStream Pulls'!U64</f>
        <v>0</v>
      </c>
    </row>
    <row r="65" spans="1:8">
      <c r="A65" s="12" t="str">
        <f t="shared" si="0"/>
        <v>111-171611000330100</v>
      </c>
      <c r="B65">
        <f>'OneStream Pulls'!C65</f>
        <v>111</v>
      </c>
      <c r="C65">
        <f>'OneStream Pulls'!M65</f>
        <v>171</v>
      </c>
      <c r="D65">
        <f>'OneStream Pulls'!I65</f>
        <v>611000</v>
      </c>
      <c r="E65" s="11">
        <f>IF(ISNUMBER('OneStream Pulls'!P65),'OneStream Pulls'!P65,0)</f>
        <v>330100</v>
      </c>
      <c r="F65" t="str">
        <f>INDEX('User Inputs'!$I$3:$I$14,MATCH('OneStream Pulls'!G65,'User Inputs'!$G$3:$G$14,0))</f>
        <v>May</v>
      </c>
      <c r="G65" t="str">
        <f>LEFT('OneStream Pulls'!G65,4)</f>
        <v>2026</v>
      </c>
      <c r="H65">
        <f>'OneStream Pulls'!U65</f>
        <v>0</v>
      </c>
    </row>
    <row r="66" spans="1:8">
      <c r="A66" s="12" t="str">
        <f t="shared" si="0"/>
        <v>111-171611000330150</v>
      </c>
      <c r="B66">
        <f>'OneStream Pulls'!C66</f>
        <v>111</v>
      </c>
      <c r="C66">
        <f>'OneStream Pulls'!M66</f>
        <v>171</v>
      </c>
      <c r="D66">
        <f>'OneStream Pulls'!I66</f>
        <v>611000</v>
      </c>
      <c r="E66" s="11">
        <f>IF(ISNUMBER('OneStream Pulls'!P66),'OneStream Pulls'!P66,0)</f>
        <v>330150</v>
      </c>
      <c r="F66" t="str">
        <f>INDEX('User Inputs'!$I$3:$I$14,MATCH('OneStream Pulls'!G66,'User Inputs'!$G$3:$G$14,0))</f>
        <v>May</v>
      </c>
      <c r="G66" t="str">
        <f>LEFT('OneStream Pulls'!G66,4)</f>
        <v>2026</v>
      </c>
      <c r="H66">
        <f>'OneStream Pulls'!U66</f>
        <v>0</v>
      </c>
    </row>
    <row r="67" spans="1:8">
      <c r="A67" s="12" t="str">
        <f t="shared" ref="A67:A130" si="1">_xlfn.CONCAT(B67,"-",C67,D67,E67)</f>
        <v>111-171611000330110</v>
      </c>
      <c r="B67">
        <f>'OneStream Pulls'!C67</f>
        <v>111</v>
      </c>
      <c r="C67">
        <f>'OneStream Pulls'!M67</f>
        <v>171</v>
      </c>
      <c r="D67">
        <f>'OneStream Pulls'!I67</f>
        <v>611000</v>
      </c>
      <c r="E67" s="11">
        <f>IF(ISNUMBER('OneStream Pulls'!P67),'OneStream Pulls'!P67,0)</f>
        <v>330110</v>
      </c>
      <c r="F67" t="str">
        <f>INDEX('User Inputs'!$I$3:$I$14,MATCH('OneStream Pulls'!G67,'User Inputs'!$G$3:$G$14,0))</f>
        <v>May</v>
      </c>
      <c r="G67" t="str">
        <f>LEFT('OneStream Pulls'!G67,4)</f>
        <v>2026</v>
      </c>
      <c r="H67">
        <f>'OneStream Pulls'!U67</f>
        <v>0</v>
      </c>
    </row>
    <row r="68" spans="1:8">
      <c r="A68" s="12" t="str">
        <f t="shared" si="1"/>
        <v>111-171611000330180</v>
      </c>
      <c r="B68">
        <f>'OneStream Pulls'!C68</f>
        <v>111</v>
      </c>
      <c r="C68">
        <f>'OneStream Pulls'!M68</f>
        <v>171</v>
      </c>
      <c r="D68">
        <f>'OneStream Pulls'!I68</f>
        <v>611000</v>
      </c>
      <c r="E68" s="11">
        <f>IF(ISNUMBER('OneStream Pulls'!P68),'OneStream Pulls'!P68,0)</f>
        <v>330180</v>
      </c>
      <c r="F68" t="str">
        <f>INDEX('User Inputs'!$I$3:$I$14,MATCH('OneStream Pulls'!G68,'User Inputs'!$G$3:$G$14,0))</f>
        <v>May</v>
      </c>
      <c r="G68" t="str">
        <f>LEFT('OneStream Pulls'!G68,4)</f>
        <v>2026</v>
      </c>
      <c r="H68">
        <f>'OneStream Pulls'!U68</f>
        <v>0</v>
      </c>
    </row>
    <row r="69" spans="1:8">
      <c r="A69" s="12" t="str">
        <f t="shared" si="1"/>
        <v>111-171611000331200</v>
      </c>
      <c r="B69">
        <f>'OneStream Pulls'!C69</f>
        <v>111</v>
      </c>
      <c r="C69">
        <f>'OneStream Pulls'!M69</f>
        <v>171</v>
      </c>
      <c r="D69">
        <f>'OneStream Pulls'!I69</f>
        <v>611000</v>
      </c>
      <c r="E69" s="11">
        <f>IF(ISNUMBER('OneStream Pulls'!P69),'OneStream Pulls'!P69,0)</f>
        <v>331200</v>
      </c>
      <c r="F69" t="str">
        <f>INDEX('User Inputs'!$I$3:$I$14,MATCH('OneStream Pulls'!G69,'User Inputs'!$G$3:$G$14,0))</f>
        <v>May</v>
      </c>
      <c r="G69" t="str">
        <f>LEFT('OneStream Pulls'!G69,4)</f>
        <v>2026</v>
      </c>
      <c r="H69">
        <f>'OneStream Pulls'!U69</f>
        <v>0</v>
      </c>
    </row>
    <row r="70" spans="1:8">
      <c r="A70" s="12" t="str">
        <f t="shared" si="1"/>
        <v>111-171611010330210</v>
      </c>
      <c r="B70">
        <f>'OneStream Pulls'!C70</f>
        <v>111</v>
      </c>
      <c r="C70">
        <f>'OneStream Pulls'!M70</f>
        <v>171</v>
      </c>
      <c r="D70">
        <f>'OneStream Pulls'!I70</f>
        <v>611010</v>
      </c>
      <c r="E70" s="11">
        <f>IF(ISNUMBER('OneStream Pulls'!P70),'OneStream Pulls'!P70,0)</f>
        <v>330210</v>
      </c>
      <c r="F70" t="str">
        <f>INDEX('User Inputs'!$I$3:$I$14,MATCH('OneStream Pulls'!G70,'User Inputs'!$G$3:$G$14,0))</f>
        <v>May</v>
      </c>
      <c r="G70" t="str">
        <f>LEFT('OneStream Pulls'!G70,4)</f>
        <v>2026</v>
      </c>
      <c r="H70">
        <f>'OneStream Pulls'!U70</f>
        <v>0</v>
      </c>
    </row>
    <row r="71" spans="1:8">
      <c r="A71" s="12" t="str">
        <f t="shared" si="1"/>
        <v>111-171611010330200</v>
      </c>
      <c r="B71">
        <f>'OneStream Pulls'!C71</f>
        <v>111</v>
      </c>
      <c r="C71">
        <f>'OneStream Pulls'!M71</f>
        <v>171</v>
      </c>
      <c r="D71">
        <f>'OneStream Pulls'!I71</f>
        <v>611010</v>
      </c>
      <c r="E71" s="11">
        <f>IF(ISNUMBER('OneStream Pulls'!P71),'OneStream Pulls'!P71,0)</f>
        <v>330200</v>
      </c>
      <c r="F71" t="str">
        <f>INDEX('User Inputs'!$I$3:$I$14,MATCH('OneStream Pulls'!G71,'User Inputs'!$G$3:$G$14,0))</f>
        <v>May</v>
      </c>
      <c r="G71" t="str">
        <f>LEFT('OneStream Pulls'!G71,4)</f>
        <v>2026</v>
      </c>
      <c r="H71">
        <f>'OneStream Pulls'!U71</f>
        <v>0</v>
      </c>
    </row>
    <row r="72" spans="1:8">
      <c r="A72" s="12" t="str">
        <f t="shared" si="1"/>
        <v>111-171611010330220</v>
      </c>
      <c r="B72">
        <f>'OneStream Pulls'!C72</f>
        <v>111</v>
      </c>
      <c r="C72">
        <f>'OneStream Pulls'!M72</f>
        <v>171</v>
      </c>
      <c r="D72">
        <f>'OneStream Pulls'!I72</f>
        <v>611010</v>
      </c>
      <c r="E72" s="11">
        <f>IF(ISNUMBER('OneStream Pulls'!P72),'OneStream Pulls'!P72,0)</f>
        <v>330220</v>
      </c>
      <c r="F72" t="str">
        <f>INDEX('User Inputs'!$I$3:$I$14,MATCH('OneStream Pulls'!G72,'User Inputs'!$G$3:$G$14,0))</f>
        <v>May</v>
      </c>
      <c r="G72" t="str">
        <f>LEFT('OneStream Pulls'!G72,4)</f>
        <v>2026</v>
      </c>
      <c r="H72">
        <f>'OneStream Pulls'!U72</f>
        <v>0</v>
      </c>
    </row>
    <row r="73" spans="1:8">
      <c r="A73" s="12" t="str">
        <f t="shared" si="1"/>
        <v>111-171611010330250</v>
      </c>
      <c r="B73">
        <f>'OneStream Pulls'!C73</f>
        <v>111</v>
      </c>
      <c r="C73">
        <f>'OneStream Pulls'!M73</f>
        <v>171</v>
      </c>
      <c r="D73">
        <f>'OneStream Pulls'!I73</f>
        <v>611010</v>
      </c>
      <c r="E73" s="11">
        <f>IF(ISNUMBER('OneStream Pulls'!P73),'OneStream Pulls'!P73,0)</f>
        <v>330250</v>
      </c>
      <c r="F73" t="str">
        <f>INDEX('User Inputs'!$I$3:$I$14,MATCH('OneStream Pulls'!G73,'User Inputs'!$G$3:$G$14,0))</f>
        <v>May</v>
      </c>
      <c r="G73" t="str">
        <f>LEFT('OneStream Pulls'!G73,4)</f>
        <v>2026</v>
      </c>
      <c r="H73">
        <f>'OneStream Pulls'!U73</f>
        <v>0</v>
      </c>
    </row>
    <row r="74" spans="1:8">
      <c r="A74" s="12" t="str">
        <f t="shared" si="1"/>
        <v>111-171611010330230</v>
      </c>
      <c r="B74">
        <f>'OneStream Pulls'!C74</f>
        <v>111</v>
      </c>
      <c r="C74">
        <f>'OneStream Pulls'!M74</f>
        <v>171</v>
      </c>
      <c r="D74">
        <f>'OneStream Pulls'!I74</f>
        <v>611010</v>
      </c>
      <c r="E74" s="11">
        <f>IF(ISNUMBER('OneStream Pulls'!P74),'OneStream Pulls'!P74,0)</f>
        <v>330230</v>
      </c>
      <c r="F74" t="str">
        <f>INDEX('User Inputs'!$I$3:$I$14,MATCH('OneStream Pulls'!G74,'User Inputs'!$G$3:$G$14,0))</f>
        <v>May</v>
      </c>
      <c r="G74" t="str">
        <f>LEFT('OneStream Pulls'!G74,4)</f>
        <v>2026</v>
      </c>
      <c r="H74">
        <f>'OneStream Pulls'!U74</f>
        <v>0</v>
      </c>
    </row>
    <row r="75" spans="1:8">
      <c r="A75" s="12" t="str">
        <f t="shared" si="1"/>
        <v>111-171611010330260</v>
      </c>
      <c r="B75">
        <f>'OneStream Pulls'!C75</f>
        <v>111</v>
      </c>
      <c r="C75">
        <f>'OneStream Pulls'!M75</f>
        <v>171</v>
      </c>
      <c r="D75">
        <f>'OneStream Pulls'!I75</f>
        <v>611010</v>
      </c>
      <c r="E75" s="11">
        <f>IF(ISNUMBER('OneStream Pulls'!P75),'OneStream Pulls'!P75,0)</f>
        <v>330260</v>
      </c>
      <c r="F75" t="str">
        <f>INDEX('User Inputs'!$I$3:$I$14,MATCH('OneStream Pulls'!G75,'User Inputs'!$G$3:$G$14,0))</f>
        <v>May</v>
      </c>
      <c r="G75" t="str">
        <f>LEFT('OneStream Pulls'!G75,4)</f>
        <v>2026</v>
      </c>
      <c r="H75">
        <f>'OneStream Pulls'!U75</f>
        <v>0</v>
      </c>
    </row>
    <row r="76" spans="1:8">
      <c r="A76" s="12" t="str">
        <f t="shared" si="1"/>
        <v>111-171611010330240</v>
      </c>
      <c r="B76">
        <f>'OneStream Pulls'!C76</f>
        <v>111</v>
      </c>
      <c r="C76">
        <f>'OneStream Pulls'!M76</f>
        <v>171</v>
      </c>
      <c r="D76">
        <f>'OneStream Pulls'!I76</f>
        <v>611010</v>
      </c>
      <c r="E76" s="11">
        <f>IF(ISNUMBER('OneStream Pulls'!P76),'OneStream Pulls'!P76,0)</f>
        <v>330240</v>
      </c>
      <c r="F76" t="str">
        <f>INDEX('User Inputs'!$I$3:$I$14,MATCH('OneStream Pulls'!G76,'User Inputs'!$G$3:$G$14,0))</f>
        <v>May</v>
      </c>
      <c r="G76" t="str">
        <f>LEFT('OneStream Pulls'!G76,4)</f>
        <v>2026</v>
      </c>
      <c r="H76">
        <f>'OneStream Pulls'!U76</f>
        <v>0</v>
      </c>
    </row>
    <row r="77" spans="1:8">
      <c r="A77" s="12" t="str">
        <f t="shared" si="1"/>
        <v>111-171611020330330</v>
      </c>
      <c r="B77">
        <f>'OneStream Pulls'!C77</f>
        <v>111</v>
      </c>
      <c r="C77">
        <f>'OneStream Pulls'!M77</f>
        <v>171</v>
      </c>
      <c r="D77">
        <f>'OneStream Pulls'!I77</f>
        <v>611020</v>
      </c>
      <c r="E77" s="11">
        <f>IF(ISNUMBER('OneStream Pulls'!P77),'OneStream Pulls'!P77,0)</f>
        <v>330330</v>
      </c>
      <c r="F77" t="str">
        <f>INDEX('User Inputs'!$I$3:$I$14,MATCH('OneStream Pulls'!G77,'User Inputs'!$G$3:$G$14,0))</f>
        <v>May</v>
      </c>
      <c r="G77" t="str">
        <f>LEFT('OneStream Pulls'!G77,4)</f>
        <v>2026</v>
      </c>
      <c r="H77">
        <f>'OneStream Pulls'!U77</f>
        <v>0</v>
      </c>
    </row>
    <row r="78" spans="1:8">
      <c r="A78" s="12" t="str">
        <f t="shared" si="1"/>
        <v>111-171611020330300</v>
      </c>
      <c r="B78">
        <f>'OneStream Pulls'!C78</f>
        <v>111</v>
      </c>
      <c r="C78">
        <f>'OneStream Pulls'!M78</f>
        <v>171</v>
      </c>
      <c r="D78">
        <f>'OneStream Pulls'!I78</f>
        <v>611020</v>
      </c>
      <c r="E78" s="11">
        <f>IF(ISNUMBER('OneStream Pulls'!P78),'OneStream Pulls'!P78,0)</f>
        <v>330300</v>
      </c>
      <c r="F78" t="str">
        <f>INDEX('User Inputs'!$I$3:$I$14,MATCH('OneStream Pulls'!G78,'User Inputs'!$G$3:$G$14,0))</f>
        <v>May</v>
      </c>
      <c r="G78" t="str">
        <f>LEFT('OneStream Pulls'!G78,4)</f>
        <v>2026</v>
      </c>
      <c r="H78">
        <f>'OneStream Pulls'!U78</f>
        <v>0</v>
      </c>
    </row>
    <row r="79" spans="1:8">
      <c r="A79" s="12" t="str">
        <f t="shared" si="1"/>
        <v>111-171611020330340</v>
      </c>
      <c r="B79">
        <f>'OneStream Pulls'!C79</f>
        <v>111</v>
      </c>
      <c r="C79">
        <f>'OneStream Pulls'!M79</f>
        <v>171</v>
      </c>
      <c r="D79">
        <f>'OneStream Pulls'!I79</f>
        <v>611020</v>
      </c>
      <c r="E79" s="11">
        <f>IF(ISNUMBER('OneStream Pulls'!P79),'OneStream Pulls'!P79,0)</f>
        <v>330340</v>
      </c>
      <c r="F79" t="str">
        <f>INDEX('User Inputs'!$I$3:$I$14,MATCH('OneStream Pulls'!G79,'User Inputs'!$G$3:$G$14,0))</f>
        <v>May</v>
      </c>
      <c r="G79" t="str">
        <f>LEFT('OneStream Pulls'!G79,4)</f>
        <v>2026</v>
      </c>
      <c r="H79">
        <f>'OneStream Pulls'!U79</f>
        <v>0</v>
      </c>
    </row>
    <row r="80" spans="1:8">
      <c r="A80" s="12" t="str">
        <f t="shared" si="1"/>
        <v>111-171611020330350</v>
      </c>
      <c r="B80">
        <f>'OneStream Pulls'!C80</f>
        <v>111</v>
      </c>
      <c r="C80">
        <f>'OneStream Pulls'!M80</f>
        <v>171</v>
      </c>
      <c r="D80">
        <f>'OneStream Pulls'!I80</f>
        <v>611020</v>
      </c>
      <c r="E80" s="11">
        <f>IF(ISNUMBER('OneStream Pulls'!P80),'OneStream Pulls'!P80,0)</f>
        <v>330350</v>
      </c>
      <c r="F80" t="str">
        <f>INDEX('User Inputs'!$I$3:$I$14,MATCH('OneStream Pulls'!G80,'User Inputs'!$G$3:$G$14,0))</f>
        <v>May</v>
      </c>
      <c r="G80" t="str">
        <f>LEFT('OneStream Pulls'!G80,4)</f>
        <v>2026</v>
      </c>
      <c r="H80">
        <f>'OneStream Pulls'!U80</f>
        <v>0</v>
      </c>
    </row>
    <row r="81" spans="1:8">
      <c r="A81" s="12" t="str">
        <f t="shared" si="1"/>
        <v>111-171611020330320</v>
      </c>
      <c r="B81">
        <f>'OneStream Pulls'!C81</f>
        <v>111</v>
      </c>
      <c r="C81">
        <f>'OneStream Pulls'!M81</f>
        <v>171</v>
      </c>
      <c r="D81">
        <f>'OneStream Pulls'!I81</f>
        <v>611020</v>
      </c>
      <c r="E81" s="11">
        <f>IF(ISNUMBER('OneStream Pulls'!P81),'OneStream Pulls'!P81,0)</f>
        <v>330320</v>
      </c>
      <c r="F81" t="str">
        <f>INDEX('User Inputs'!$I$3:$I$14,MATCH('OneStream Pulls'!G81,'User Inputs'!$G$3:$G$14,0))</f>
        <v>May</v>
      </c>
      <c r="G81" t="str">
        <f>LEFT('OneStream Pulls'!G81,4)</f>
        <v>2026</v>
      </c>
      <c r="H81">
        <f>'OneStream Pulls'!U81</f>
        <v>0</v>
      </c>
    </row>
    <row r="82" spans="1:8">
      <c r="A82" s="12" t="str">
        <f t="shared" si="1"/>
        <v>111-171611020330360</v>
      </c>
      <c r="B82">
        <f>'OneStream Pulls'!C82</f>
        <v>111</v>
      </c>
      <c r="C82">
        <f>'OneStream Pulls'!M82</f>
        <v>171</v>
      </c>
      <c r="D82">
        <f>'OneStream Pulls'!I82</f>
        <v>611020</v>
      </c>
      <c r="E82" s="11">
        <f>IF(ISNUMBER('OneStream Pulls'!P82),'OneStream Pulls'!P82,0)</f>
        <v>330360</v>
      </c>
      <c r="F82" t="str">
        <f>INDEX('User Inputs'!$I$3:$I$14,MATCH('OneStream Pulls'!G82,'User Inputs'!$G$3:$G$14,0))</f>
        <v>May</v>
      </c>
      <c r="G82" t="str">
        <f>LEFT('OneStream Pulls'!G82,4)</f>
        <v>2026</v>
      </c>
      <c r="H82">
        <f>'OneStream Pulls'!U82</f>
        <v>0</v>
      </c>
    </row>
    <row r="83" spans="1:8">
      <c r="A83" s="12" t="str">
        <f t="shared" si="1"/>
        <v>111-171611020330370</v>
      </c>
      <c r="B83">
        <f>'OneStream Pulls'!C83</f>
        <v>111</v>
      </c>
      <c r="C83">
        <f>'OneStream Pulls'!M83</f>
        <v>171</v>
      </c>
      <c r="D83">
        <f>'OneStream Pulls'!I83</f>
        <v>611020</v>
      </c>
      <c r="E83" s="11">
        <f>IF(ISNUMBER('OneStream Pulls'!P83),'OneStream Pulls'!P83,0)</f>
        <v>330370</v>
      </c>
      <c r="F83" t="str">
        <f>INDEX('User Inputs'!$I$3:$I$14,MATCH('OneStream Pulls'!G83,'User Inputs'!$G$3:$G$14,0))</f>
        <v>May</v>
      </c>
      <c r="G83" t="str">
        <f>LEFT('OneStream Pulls'!G83,4)</f>
        <v>2026</v>
      </c>
      <c r="H83">
        <f>'OneStream Pulls'!U83</f>
        <v>0</v>
      </c>
    </row>
    <row r="84" spans="1:8">
      <c r="A84" s="12" t="str">
        <f t="shared" si="1"/>
        <v>111-171611020330310</v>
      </c>
      <c r="B84">
        <f>'OneStream Pulls'!C84</f>
        <v>111</v>
      </c>
      <c r="C84">
        <f>'OneStream Pulls'!M84</f>
        <v>171</v>
      </c>
      <c r="D84">
        <f>'OneStream Pulls'!I84</f>
        <v>611020</v>
      </c>
      <c r="E84" s="11">
        <f>IF(ISNUMBER('OneStream Pulls'!P84),'OneStream Pulls'!P84,0)</f>
        <v>330310</v>
      </c>
      <c r="F84" t="str">
        <f>INDEX('User Inputs'!$I$3:$I$14,MATCH('OneStream Pulls'!G84,'User Inputs'!$G$3:$G$14,0))</f>
        <v>May</v>
      </c>
      <c r="G84" t="str">
        <f>LEFT('OneStream Pulls'!G84,4)</f>
        <v>2026</v>
      </c>
      <c r="H84">
        <f>'OneStream Pulls'!U84</f>
        <v>0</v>
      </c>
    </row>
    <row r="85" spans="1:8">
      <c r="A85" s="12" t="str">
        <f t="shared" si="1"/>
        <v>111-171611020330380</v>
      </c>
      <c r="B85">
        <f>'OneStream Pulls'!C85</f>
        <v>111</v>
      </c>
      <c r="C85">
        <f>'OneStream Pulls'!M85</f>
        <v>171</v>
      </c>
      <c r="D85">
        <f>'OneStream Pulls'!I85</f>
        <v>611020</v>
      </c>
      <c r="E85" s="11">
        <f>IF(ISNUMBER('OneStream Pulls'!P85),'OneStream Pulls'!P85,0)</f>
        <v>330380</v>
      </c>
      <c r="F85" t="str">
        <f>INDEX('User Inputs'!$I$3:$I$14,MATCH('OneStream Pulls'!G85,'User Inputs'!$G$3:$G$14,0))</f>
        <v>May</v>
      </c>
      <c r="G85" t="str">
        <f>LEFT('OneStream Pulls'!G85,4)</f>
        <v>2026</v>
      </c>
      <c r="H85">
        <f>'OneStream Pulls'!U85</f>
        <v>0</v>
      </c>
    </row>
    <row r="86" spans="1:8">
      <c r="A86" s="12" t="str">
        <f t="shared" si="1"/>
        <v>111-171611030330420</v>
      </c>
      <c r="B86">
        <f>'OneStream Pulls'!C86</f>
        <v>111</v>
      </c>
      <c r="C86">
        <f>'OneStream Pulls'!M86</f>
        <v>171</v>
      </c>
      <c r="D86">
        <f>'OneStream Pulls'!I86</f>
        <v>611030</v>
      </c>
      <c r="E86" s="11">
        <f>IF(ISNUMBER('OneStream Pulls'!P86),'OneStream Pulls'!P86,0)</f>
        <v>330420</v>
      </c>
      <c r="F86" t="str">
        <f>INDEX('User Inputs'!$I$3:$I$14,MATCH('OneStream Pulls'!G86,'User Inputs'!$G$3:$G$14,0))</f>
        <v>May</v>
      </c>
      <c r="G86" t="str">
        <f>LEFT('OneStream Pulls'!G86,4)</f>
        <v>2026</v>
      </c>
      <c r="H86">
        <f>'OneStream Pulls'!U86</f>
        <v>0</v>
      </c>
    </row>
    <row r="87" spans="1:8">
      <c r="A87" s="12" t="str">
        <f t="shared" si="1"/>
        <v>111-171611030330430</v>
      </c>
      <c r="B87">
        <f>'OneStream Pulls'!C87</f>
        <v>111</v>
      </c>
      <c r="C87">
        <f>'OneStream Pulls'!M87</f>
        <v>171</v>
      </c>
      <c r="D87">
        <f>'OneStream Pulls'!I87</f>
        <v>611030</v>
      </c>
      <c r="E87" s="11">
        <f>IF(ISNUMBER('OneStream Pulls'!P87),'OneStream Pulls'!P87,0)</f>
        <v>330430</v>
      </c>
      <c r="F87" t="str">
        <f>INDEX('User Inputs'!$I$3:$I$14,MATCH('OneStream Pulls'!G87,'User Inputs'!$G$3:$G$14,0))</f>
        <v>May</v>
      </c>
      <c r="G87" t="str">
        <f>LEFT('OneStream Pulls'!G87,4)</f>
        <v>2026</v>
      </c>
      <c r="H87">
        <f>'OneStream Pulls'!U87</f>
        <v>198.19</v>
      </c>
    </row>
    <row r="88" spans="1:8">
      <c r="A88" s="12" t="str">
        <f t="shared" si="1"/>
        <v>111-171611030330435</v>
      </c>
      <c r="B88">
        <f>'OneStream Pulls'!C88</f>
        <v>111</v>
      </c>
      <c r="C88">
        <f>'OneStream Pulls'!M88</f>
        <v>171</v>
      </c>
      <c r="D88">
        <f>'OneStream Pulls'!I88</f>
        <v>611030</v>
      </c>
      <c r="E88" s="11">
        <f>IF(ISNUMBER('OneStream Pulls'!P88),'OneStream Pulls'!P88,0)</f>
        <v>330435</v>
      </c>
      <c r="F88" t="str">
        <f>INDEX('User Inputs'!$I$3:$I$14,MATCH('OneStream Pulls'!G88,'User Inputs'!$G$3:$G$14,0))</f>
        <v>May</v>
      </c>
      <c r="G88" t="str">
        <f>LEFT('OneStream Pulls'!G88,4)</f>
        <v>2026</v>
      </c>
      <c r="H88">
        <f>'OneStream Pulls'!U88</f>
        <v>0</v>
      </c>
    </row>
    <row r="89" spans="1:8">
      <c r="A89" s="12" t="str">
        <f t="shared" si="1"/>
        <v>111-171611030330440</v>
      </c>
      <c r="B89">
        <f>'OneStream Pulls'!C89</f>
        <v>111</v>
      </c>
      <c r="C89">
        <f>'OneStream Pulls'!M89</f>
        <v>171</v>
      </c>
      <c r="D89">
        <f>'OneStream Pulls'!I89</f>
        <v>611030</v>
      </c>
      <c r="E89" s="11">
        <f>IF(ISNUMBER('OneStream Pulls'!P89),'OneStream Pulls'!P89,0)</f>
        <v>330440</v>
      </c>
      <c r="F89" t="str">
        <f>INDEX('User Inputs'!$I$3:$I$14,MATCH('OneStream Pulls'!G89,'User Inputs'!$G$3:$G$14,0))</f>
        <v>May</v>
      </c>
      <c r="G89" t="str">
        <f>LEFT('OneStream Pulls'!G89,4)</f>
        <v>2026</v>
      </c>
      <c r="H89">
        <f>'OneStream Pulls'!U89</f>
        <v>4860</v>
      </c>
    </row>
    <row r="90" spans="1:8">
      <c r="A90" s="12" t="str">
        <f t="shared" si="1"/>
        <v>111-171611030330445</v>
      </c>
      <c r="B90">
        <f>'OneStream Pulls'!C90</f>
        <v>111</v>
      </c>
      <c r="C90">
        <f>'OneStream Pulls'!M90</f>
        <v>171</v>
      </c>
      <c r="D90">
        <f>'OneStream Pulls'!I90</f>
        <v>611030</v>
      </c>
      <c r="E90" s="11">
        <f>IF(ISNUMBER('OneStream Pulls'!P90),'OneStream Pulls'!P90,0)</f>
        <v>330445</v>
      </c>
      <c r="F90" t="str">
        <f>INDEX('User Inputs'!$I$3:$I$14,MATCH('OneStream Pulls'!G90,'User Inputs'!$G$3:$G$14,0))</f>
        <v>May</v>
      </c>
      <c r="G90" t="str">
        <f>LEFT('OneStream Pulls'!G90,4)</f>
        <v>2026</v>
      </c>
      <c r="H90">
        <f>'OneStream Pulls'!U90</f>
        <v>0</v>
      </c>
    </row>
    <row r="91" spans="1:8">
      <c r="A91" s="12" t="str">
        <f t="shared" si="1"/>
        <v>111-171611030330410</v>
      </c>
      <c r="B91">
        <f>'OneStream Pulls'!C91</f>
        <v>111</v>
      </c>
      <c r="C91">
        <f>'OneStream Pulls'!M91</f>
        <v>171</v>
      </c>
      <c r="D91">
        <f>'OneStream Pulls'!I91</f>
        <v>611030</v>
      </c>
      <c r="E91" s="11">
        <f>IF(ISNUMBER('OneStream Pulls'!P91),'OneStream Pulls'!P91,0)</f>
        <v>330410</v>
      </c>
      <c r="F91" t="str">
        <f>INDEX('User Inputs'!$I$3:$I$14,MATCH('OneStream Pulls'!G91,'User Inputs'!$G$3:$G$14,0))</f>
        <v>May</v>
      </c>
      <c r="G91" t="str">
        <f>LEFT('OneStream Pulls'!G91,4)</f>
        <v>2026</v>
      </c>
      <c r="H91">
        <f>'OneStream Pulls'!U91</f>
        <v>0</v>
      </c>
    </row>
    <row r="92" spans="1:8">
      <c r="A92" s="12" t="str">
        <f t="shared" si="1"/>
        <v>111-171611040330450</v>
      </c>
      <c r="B92">
        <f>'OneStream Pulls'!C92</f>
        <v>111</v>
      </c>
      <c r="C92">
        <f>'OneStream Pulls'!M92</f>
        <v>171</v>
      </c>
      <c r="D92">
        <f>'OneStream Pulls'!I92</f>
        <v>611040</v>
      </c>
      <c r="E92" s="11">
        <f>IF(ISNUMBER('OneStream Pulls'!P92),'OneStream Pulls'!P92,0)</f>
        <v>330450</v>
      </c>
      <c r="F92" t="str">
        <f>INDEX('User Inputs'!$I$3:$I$14,MATCH('OneStream Pulls'!G92,'User Inputs'!$G$3:$G$14,0))</f>
        <v>May</v>
      </c>
      <c r="G92" t="str">
        <f>LEFT('OneStream Pulls'!G92,4)</f>
        <v>2026</v>
      </c>
      <c r="H92">
        <f>'OneStream Pulls'!U92</f>
        <v>0</v>
      </c>
    </row>
    <row r="93" spans="1:8">
      <c r="A93" s="12" t="str">
        <f t="shared" si="1"/>
        <v>111-171611588330915</v>
      </c>
      <c r="B93">
        <f>'OneStream Pulls'!C93</f>
        <v>111</v>
      </c>
      <c r="C93">
        <f>'OneStream Pulls'!M93</f>
        <v>171</v>
      </c>
      <c r="D93">
        <f>'OneStream Pulls'!I93</f>
        <v>611588</v>
      </c>
      <c r="E93" s="11">
        <f>IF(ISNUMBER('OneStream Pulls'!P93),'OneStream Pulls'!P93,0)</f>
        <v>330915</v>
      </c>
      <c r="F93" t="str">
        <f>INDEX('User Inputs'!$I$3:$I$14,MATCH('OneStream Pulls'!G93,'User Inputs'!$G$3:$G$14,0))</f>
        <v>May</v>
      </c>
      <c r="G93" t="str">
        <f>LEFT('OneStream Pulls'!G93,4)</f>
        <v>2026</v>
      </c>
      <c r="H93">
        <f>'OneStream Pulls'!U93</f>
        <v>0</v>
      </c>
    </row>
    <row r="94" spans="1:8">
      <c r="A94" s="12" t="str">
        <f t="shared" si="1"/>
        <v>111-171614100330500</v>
      </c>
      <c r="B94">
        <f>'OneStream Pulls'!C94</f>
        <v>111</v>
      </c>
      <c r="C94">
        <f>'OneStream Pulls'!M94</f>
        <v>171</v>
      </c>
      <c r="D94">
        <f>'OneStream Pulls'!I94</f>
        <v>614100</v>
      </c>
      <c r="E94" s="11">
        <f>IF(ISNUMBER('OneStream Pulls'!P94),'OneStream Pulls'!P94,0)</f>
        <v>330500</v>
      </c>
      <c r="F94" t="str">
        <f>INDEX('User Inputs'!$I$3:$I$14,MATCH('OneStream Pulls'!G94,'User Inputs'!$G$3:$G$14,0))</f>
        <v>May</v>
      </c>
      <c r="G94" t="str">
        <f>LEFT('OneStream Pulls'!G94,4)</f>
        <v>2026</v>
      </c>
      <c r="H94">
        <f>'OneStream Pulls'!U94</f>
        <v>0</v>
      </c>
    </row>
    <row r="95" spans="1:8">
      <c r="A95" s="12" t="str">
        <f t="shared" si="1"/>
        <v>111-171614200330610</v>
      </c>
      <c r="B95">
        <f>'OneStream Pulls'!C95</f>
        <v>111</v>
      </c>
      <c r="C95">
        <f>'OneStream Pulls'!M95</f>
        <v>171</v>
      </c>
      <c r="D95">
        <f>'OneStream Pulls'!I95</f>
        <v>614200</v>
      </c>
      <c r="E95" s="11">
        <f>IF(ISNUMBER('OneStream Pulls'!P95),'OneStream Pulls'!P95,0)</f>
        <v>330610</v>
      </c>
      <c r="F95" t="str">
        <f>INDEX('User Inputs'!$I$3:$I$14,MATCH('OneStream Pulls'!G95,'User Inputs'!$G$3:$G$14,0))</f>
        <v>May</v>
      </c>
      <c r="G95" t="str">
        <f>LEFT('OneStream Pulls'!G95,4)</f>
        <v>2026</v>
      </c>
      <c r="H95">
        <f>'OneStream Pulls'!U95</f>
        <v>0</v>
      </c>
    </row>
    <row r="96" spans="1:8">
      <c r="A96" s="12" t="str">
        <f t="shared" si="1"/>
        <v>111-171614200330600</v>
      </c>
      <c r="B96">
        <f>'OneStream Pulls'!C96</f>
        <v>111</v>
      </c>
      <c r="C96">
        <f>'OneStream Pulls'!M96</f>
        <v>171</v>
      </c>
      <c r="D96">
        <f>'OneStream Pulls'!I96</f>
        <v>614200</v>
      </c>
      <c r="E96" s="11">
        <f>IF(ISNUMBER('OneStream Pulls'!P96),'OneStream Pulls'!P96,0)</f>
        <v>330600</v>
      </c>
      <c r="F96" t="str">
        <f>INDEX('User Inputs'!$I$3:$I$14,MATCH('OneStream Pulls'!G96,'User Inputs'!$G$3:$G$14,0))</f>
        <v>May</v>
      </c>
      <c r="G96" t="str">
        <f>LEFT('OneStream Pulls'!G96,4)</f>
        <v>2026</v>
      </c>
      <c r="H96">
        <f>'OneStream Pulls'!U96</f>
        <v>0</v>
      </c>
    </row>
    <row r="97" spans="1:8">
      <c r="A97" s="12" t="str">
        <f t="shared" si="1"/>
        <v>111-171614200330620</v>
      </c>
      <c r="B97">
        <f>'OneStream Pulls'!C97</f>
        <v>111</v>
      </c>
      <c r="C97">
        <f>'OneStream Pulls'!M97</f>
        <v>171</v>
      </c>
      <c r="D97">
        <f>'OneStream Pulls'!I97</f>
        <v>614200</v>
      </c>
      <c r="E97" s="11">
        <f>IF(ISNUMBER('OneStream Pulls'!P97),'OneStream Pulls'!P97,0)</f>
        <v>330620</v>
      </c>
      <c r="F97" t="str">
        <f>INDEX('User Inputs'!$I$3:$I$14,MATCH('OneStream Pulls'!G97,'User Inputs'!$G$3:$G$14,0))</f>
        <v>May</v>
      </c>
      <c r="G97" t="str">
        <f>LEFT('OneStream Pulls'!G97,4)</f>
        <v>2026</v>
      </c>
      <c r="H97">
        <f>'OneStream Pulls'!U97</f>
        <v>0</v>
      </c>
    </row>
    <row r="98" spans="1:8">
      <c r="A98" s="12" t="str">
        <f t="shared" si="1"/>
        <v>111-171614200330630</v>
      </c>
      <c r="B98">
        <f>'OneStream Pulls'!C98</f>
        <v>111</v>
      </c>
      <c r="C98">
        <f>'OneStream Pulls'!M98</f>
        <v>171</v>
      </c>
      <c r="D98">
        <f>'OneStream Pulls'!I98</f>
        <v>614200</v>
      </c>
      <c r="E98" s="11">
        <f>IF(ISNUMBER('OneStream Pulls'!P98),'OneStream Pulls'!P98,0)</f>
        <v>330630</v>
      </c>
      <c r="F98" t="str">
        <f>INDEX('User Inputs'!$I$3:$I$14,MATCH('OneStream Pulls'!G98,'User Inputs'!$G$3:$G$14,0))</f>
        <v>May</v>
      </c>
      <c r="G98" t="str">
        <f>LEFT('OneStream Pulls'!G98,4)</f>
        <v>2026</v>
      </c>
      <c r="H98">
        <f>'OneStream Pulls'!U98</f>
        <v>0</v>
      </c>
    </row>
    <row r="99" spans="1:8">
      <c r="A99" s="12" t="str">
        <f t="shared" si="1"/>
        <v>111-171616000330710</v>
      </c>
      <c r="B99">
        <f>'OneStream Pulls'!C99</f>
        <v>111</v>
      </c>
      <c r="C99">
        <f>'OneStream Pulls'!M99</f>
        <v>171</v>
      </c>
      <c r="D99">
        <f>'OneStream Pulls'!I99</f>
        <v>616000</v>
      </c>
      <c r="E99" s="11">
        <f>IF(ISNUMBER('OneStream Pulls'!P99),'OneStream Pulls'!P99,0)</f>
        <v>330710</v>
      </c>
      <c r="F99" t="str">
        <f>INDEX('User Inputs'!$I$3:$I$14,MATCH('OneStream Pulls'!G99,'User Inputs'!$G$3:$G$14,0))</f>
        <v>May</v>
      </c>
      <c r="G99" t="str">
        <f>LEFT('OneStream Pulls'!G99,4)</f>
        <v>2026</v>
      </c>
      <c r="H99">
        <f>'OneStream Pulls'!U99</f>
        <v>0</v>
      </c>
    </row>
    <row r="100" spans="1:8">
      <c r="A100" s="12" t="str">
        <f t="shared" si="1"/>
        <v>111-171616000330700</v>
      </c>
      <c r="B100">
        <f>'OneStream Pulls'!C100</f>
        <v>111</v>
      </c>
      <c r="C100">
        <f>'OneStream Pulls'!M100</f>
        <v>171</v>
      </c>
      <c r="D100">
        <f>'OneStream Pulls'!I100</f>
        <v>616000</v>
      </c>
      <c r="E100" s="11">
        <f>IF(ISNUMBER('OneStream Pulls'!P100),'OneStream Pulls'!P100,0)</f>
        <v>330700</v>
      </c>
      <c r="F100" t="str">
        <f>INDEX('User Inputs'!$I$3:$I$14,MATCH('OneStream Pulls'!G100,'User Inputs'!$G$3:$G$14,0))</f>
        <v>May</v>
      </c>
      <c r="G100" t="str">
        <f>LEFT('OneStream Pulls'!G100,4)</f>
        <v>2026</v>
      </c>
      <c r="H100">
        <f>'OneStream Pulls'!U100</f>
        <v>0</v>
      </c>
    </row>
    <row r="101" spans="1:8">
      <c r="A101" s="12" t="str">
        <f t="shared" si="1"/>
        <v>111-171618000330800</v>
      </c>
      <c r="B101">
        <f>'OneStream Pulls'!C101</f>
        <v>111</v>
      </c>
      <c r="C101">
        <f>'OneStream Pulls'!M101</f>
        <v>171</v>
      </c>
      <c r="D101">
        <f>'OneStream Pulls'!I101</f>
        <v>618000</v>
      </c>
      <c r="E101" s="11">
        <f>IF(ISNUMBER('OneStream Pulls'!P101),'OneStream Pulls'!P101,0)</f>
        <v>330800</v>
      </c>
      <c r="F101" t="str">
        <f>INDEX('User Inputs'!$I$3:$I$14,MATCH('OneStream Pulls'!G101,'User Inputs'!$G$3:$G$14,0))</f>
        <v>May</v>
      </c>
      <c r="G101" t="str">
        <f>LEFT('OneStream Pulls'!G101,4)</f>
        <v>2026</v>
      </c>
      <c r="H101">
        <f>'OneStream Pulls'!U101</f>
        <v>0</v>
      </c>
    </row>
    <row r="102" spans="1:8">
      <c r="A102" s="12" t="str">
        <f t="shared" si="1"/>
        <v>111-171618050330900</v>
      </c>
      <c r="B102">
        <f>'OneStream Pulls'!C102</f>
        <v>111</v>
      </c>
      <c r="C102">
        <f>'OneStream Pulls'!M102</f>
        <v>171</v>
      </c>
      <c r="D102">
        <f>'OneStream Pulls'!I102</f>
        <v>618050</v>
      </c>
      <c r="E102" s="11">
        <f>IF(ISNUMBER('OneStream Pulls'!P102),'OneStream Pulls'!P102,0)</f>
        <v>330900</v>
      </c>
      <c r="F102" t="str">
        <f>INDEX('User Inputs'!$I$3:$I$14,MATCH('OneStream Pulls'!G102,'User Inputs'!$G$3:$G$14,0))</f>
        <v>May</v>
      </c>
      <c r="G102" t="str">
        <f>LEFT('OneStream Pulls'!G102,4)</f>
        <v>2026</v>
      </c>
      <c r="H102">
        <f>'OneStream Pulls'!U102</f>
        <v>0</v>
      </c>
    </row>
    <row r="103" spans="1:8">
      <c r="A103" s="12" t="str">
        <f t="shared" si="1"/>
        <v>111-171618050330910</v>
      </c>
      <c r="B103">
        <f>'OneStream Pulls'!C103</f>
        <v>111</v>
      </c>
      <c r="C103">
        <f>'OneStream Pulls'!M103</f>
        <v>171</v>
      </c>
      <c r="D103">
        <f>'OneStream Pulls'!I103</f>
        <v>618050</v>
      </c>
      <c r="E103" s="11">
        <f>IF(ISNUMBER('OneStream Pulls'!P103),'OneStream Pulls'!P103,0)</f>
        <v>330910</v>
      </c>
      <c r="F103" t="str">
        <f>INDEX('User Inputs'!$I$3:$I$14,MATCH('OneStream Pulls'!G103,'User Inputs'!$G$3:$G$14,0))</f>
        <v>May</v>
      </c>
      <c r="G103" t="str">
        <f>LEFT('OneStream Pulls'!G103,4)</f>
        <v>2026</v>
      </c>
      <c r="H103">
        <f>'OneStream Pulls'!U103</f>
        <v>0</v>
      </c>
    </row>
    <row r="104" spans="1:8">
      <c r="A104" s="12" t="str">
        <f t="shared" si="1"/>
        <v>111-171618200330920</v>
      </c>
      <c r="B104">
        <f>'OneStream Pulls'!C104</f>
        <v>111</v>
      </c>
      <c r="C104">
        <f>'OneStream Pulls'!M104</f>
        <v>171</v>
      </c>
      <c r="D104">
        <f>'OneStream Pulls'!I104</f>
        <v>618200</v>
      </c>
      <c r="E104" s="11">
        <f>IF(ISNUMBER('OneStream Pulls'!P104),'OneStream Pulls'!P104,0)</f>
        <v>330920</v>
      </c>
      <c r="F104" t="str">
        <f>INDEX('User Inputs'!$I$3:$I$14,MATCH('OneStream Pulls'!G104,'User Inputs'!$G$3:$G$14,0))</f>
        <v>May</v>
      </c>
      <c r="G104" t="str">
        <f>LEFT('OneStream Pulls'!G104,4)</f>
        <v>2026</v>
      </c>
      <c r="H104">
        <f>'OneStream Pulls'!U104</f>
        <v>0</v>
      </c>
    </row>
    <row r="105" spans="1:8">
      <c r="A105" s="12" t="str">
        <f t="shared" si="1"/>
        <v>111-171618250331020</v>
      </c>
      <c r="B105">
        <f>'OneStream Pulls'!C105</f>
        <v>111</v>
      </c>
      <c r="C105">
        <f>'OneStream Pulls'!M105</f>
        <v>171</v>
      </c>
      <c r="D105">
        <f>'OneStream Pulls'!I105</f>
        <v>618250</v>
      </c>
      <c r="E105" s="11">
        <f>IF(ISNUMBER('OneStream Pulls'!P105),'OneStream Pulls'!P105,0)</f>
        <v>331020</v>
      </c>
      <c r="F105" t="str">
        <f>INDEX('User Inputs'!$I$3:$I$14,MATCH('OneStream Pulls'!G105,'User Inputs'!$G$3:$G$14,0))</f>
        <v>May</v>
      </c>
      <c r="G105" t="str">
        <f>LEFT('OneStream Pulls'!G105,4)</f>
        <v>2026</v>
      </c>
      <c r="H105">
        <f>'OneStream Pulls'!U105</f>
        <v>0</v>
      </c>
    </row>
    <row r="106" spans="1:8">
      <c r="A106" s="12" t="str">
        <f t="shared" si="1"/>
        <v>111-171618250331000</v>
      </c>
      <c r="B106">
        <f>'OneStream Pulls'!C106</f>
        <v>111</v>
      </c>
      <c r="C106">
        <f>'OneStream Pulls'!M106</f>
        <v>171</v>
      </c>
      <c r="D106">
        <f>'OneStream Pulls'!I106</f>
        <v>618250</v>
      </c>
      <c r="E106" s="11">
        <f>IF(ISNUMBER('OneStream Pulls'!P106),'OneStream Pulls'!P106,0)</f>
        <v>331000</v>
      </c>
      <c r="F106" t="str">
        <f>INDEX('User Inputs'!$I$3:$I$14,MATCH('OneStream Pulls'!G106,'User Inputs'!$G$3:$G$14,0))</f>
        <v>May</v>
      </c>
      <c r="G106" t="str">
        <f>LEFT('OneStream Pulls'!G106,4)</f>
        <v>2026</v>
      </c>
      <c r="H106">
        <f>'OneStream Pulls'!U106</f>
        <v>122858</v>
      </c>
    </row>
    <row r="107" spans="1:8">
      <c r="A107" s="12" t="str">
        <f t="shared" si="1"/>
        <v>111-171618250331050</v>
      </c>
      <c r="B107">
        <f>'OneStream Pulls'!C107</f>
        <v>111</v>
      </c>
      <c r="C107">
        <f>'OneStream Pulls'!M107</f>
        <v>171</v>
      </c>
      <c r="D107">
        <f>'OneStream Pulls'!I107</f>
        <v>618250</v>
      </c>
      <c r="E107" s="11">
        <f>IF(ISNUMBER('OneStream Pulls'!P107),'OneStream Pulls'!P107,0)</f>
        <v>331050</v>
      </c>
      <c r="F107" t="str">
        <f>INDEX('User Inputs'!$I$3:$I$14,MATCH('OneStream Pulls'!G107,'User Inputs'!$G$3:$G$14,0))</f>
        <v>May</v>
      </c>
      <c r="G107" t="str">
        <f>LEFT('OneStream Pulls'!G107,4)</f>
        <v>2026</v>
      </c>
      <c r="H107">
        <f>'OneStream Pulls'!U107</f>
        <v>276164.7</v>
      </c>
    </row>
    <row r="108" spans="1:8">
      <c r="A108" s="12" t="str">
        <f t="shared" si="1"/>
        <v>111-171618250331040</v>
      </c>
      <c r="B108">
        <f>'OneStream Pulls'!C108</f>
        <v>111</v>
      </c>
      <c r="C108">
        <f>'OneStream Pulls'!M108</f>
        <v>171</v>
      </c>
      <c r="D108">
        <f>'OneStream Pulls'!I108</f>
        <v>618250</v>
      </c>
      <c r="E108" s="11">
        <f>IF(ISNUMBER('OneStream Pulls'!P108),'OneStream Pulls'!P108,0)</f>
        <v>331040</v>
      </c>
      <c r="F108" t="str">
        <f>INDEX('User Inputs'!$I$3:$I$14,MATCH('OneStream Pulls'!G108,'User Inputs'!$G$3:$G$14,0))</f>
        <v>May</v>
      </c>
      <c r="G108" t="str">
        <f>LEFT('OneStream Pulls'!G108,4)</f>
        <v>2026</v>
      </c>
      <c r="H108">
        <f>'OneStream Pulls'!U108</f>
        <v>0</v>
      </c>
    </row>
    <row r="109" spans="1:8">
      <c r="A109" s="12" t="str">
        <f t="shared" si="1"/>
        <v>111-171618250331030</v>
      </c>
      <c r="B109">
        <f>'OneStream Pulls'!C109</f>
        <v>111</v>
      </c>
      <c r="C109">
        <f>'OneStream Pulls'!M109</f>
        <v>171</v>
      </c>
      <c r="D109">
        <f>'OneStream Pulls'!I109</f>
        <v>618250</v>
      </c>
      <c r="E109" s="11">
        <f>IF(ISNUMBER('OneStream Pulls'!P109),'OneStream Pulls'!P109,0)</f>
        <v>331030</v>
      </c>
      <c r="F109" t="str">
        <f>INDEX('User Inputs'!$I$3:$I$14,MATCH('OneStream Pulls'!G109,'User Inputs'!$G$3:$G$14,0))</f>
        <v>May</v>
      </c>
      <c r="G109" t="str">
        <f>LEFT('OneStream Pulls'!G109,4)</f>
        <v>2026</v>
      </c>
      <c r="H109">
        <f>'OneStream Pulls'!U109</f>
        <v>0</v>
      </c>
    </row>
    <row r="110" spans="1:8">
      <c r="A110" s="12" t="str">
        <f t="shared" si="1"/>
        <v>111-171618250331010</v>
      </c>
      <c r="B110">
        <f>'OneStream Pulls'!C110</f>
        <v>111</v>
      </c>
      <c r="C110">
        <f>'OneStream Pulls'!M110</f>
        <v>171</v>
      </c>
      <c r="D110">
        <f>'OneStream Pulls'!I110</f>
        <v>618250</v>
      </c>
      <c r="E110" s="11">
        <f>IF(ISNUMBER('OneStream Pulls'!P110),'OneStream Pulls'!P110,0)</f>
        <v>331010</v>
      </c>
      <c r="F110" t="str">
        <f>INDEX('User Inputs'!$I$3:$I$14,MATCH('OneStream Pulls'!G110,'User Inputs'!$G$3:$G$14,0))</f>
        <v>May</v>
      </c>
      <c r="G110" t="str">
        <f>LEFT('OneStream Pulls'!G110,4)</f>
        <v>2026</v>
      </c>
      <c r="H110">
        <f>'OneStream Pulls'!U110</f>
        <v>0</v>
      </c>
    </row>
    <row r="111" spans="1:8">
      <c r="A111" s="12" t="str">
        <f t="shared" si="1"/>
        <v>111-171618300331200</v>
      </c>
      <c r="B111">
        <f>'OneStream Pulls'!C111</f>
        <v>111</v>
      </c>
      <c r="C111">
        <f>'OneStream Pulls'!M111</f>
        <v>171</v>
      </c>
      <c r="D111">
        <f>'OneStream Pulls'!I111</f>
        <v>618300</v>
      </c>
      <c r="E111" s="11">
        <f>IF(ISNUMBER('OneStream Pulls'!P111),'OneStream Pulls'!P111,0)</f>
        <v>331200</v>
      </c>
      <c r="F111" t="str">
        <f>INDEX('User Inputs'!$I$3:$I$14,MATCH('OneStream Pulls'!G111,'User Inputs'!$G$3:$G$14,0))</f>
        <v>May</v>
      </c>
      <c r="G111" t="str">
        <f>LEFT('OneStream Pulls'!G111,4)</f>
        <v>2026</v>
      </c>
      <c r="H111">
        <f>'OneStream Pulls'!U111</f>
        <v>53867</v>
      </c>
    </row>
    <row r="112" spans="1:8">
      <c r="A112" s="12" t="str">
        <f t="shared" si="1"/>
        <v>111-171618300331240</v>
      </c>
      <c r="B112">
        <f>'OneStream Pulls'!C112</f>
        <v>111</v>
      </c>
      <c r="C112">
        <f>'OneStream Pulls'!M112</f>
        <v>171</v>
      </c>
      <c r="D112">
        <f>'OneStream Pulls'!I112</f>
        <v>618300</v>
      </c>
      <c r="E112" s="11">
        <f>IF(ISNUMBER('OneStream Pulls'!P112),'OneStream Pulls'!P112,0)</f>
        <v>331240</v>
      </c>
      <c r="F112" t="str">
        <f>INDEX('User Inputs'!$I$3:$I$14,MATCH('OneStream Pulls'!G112,'User Inputs'!$G$3:$G$14,0))</f>
        <v>May</v>
      </c>
      <c r="G112" t="str">
        <f>LEFT('OneStream Pulls'!G112,4)</f>
        <v>2026</v>
      </c>
      <c r="H112">
        <f>'OneStream Pulls'!U112</f>
        <v>0</v>
      </c>
    </row>
    <row r="113" spans="1:8">
      <c r="A113" s="12" t="str">
        <f t="shared" si="1"/>
        <v>111-171618300331230</v>
      </c>
      <c r="B113">
        <f>'OneStream Pulls'!C113</f>
        <v>111</v>
      </c>
      <c r="C113">
        <f>'OneStream Pulls'!M113</f>
        <v>171</v>
      </c>
      <c r="D113">
        <f>'OneStream Pulls'!I113</f>
        <v>618300</v>
      </c>
      <c r="E113" s="11">
        <f>IF(ISNUMBER('OneStream Pulls'!P113),'OneStream Pulls'!P113,0)</f>
        <v>331230</v>
      </c>
      <c r="F113" t="str">
        <f>INDEX('User Inputs'!$I$3:$I$14,MATCH('OneStream Pulls'!G113,'User Inputs'!$G$3:$G$14,0))</f>
        <v>May</v>
      </c>
      <c r="G113" t="str">
        <f>LEFT('OneStream Pulls'!G113,4)</f>
        <v>2026</v>
      </c>
      <c r="H113">
        <f>'OneStream Pulls'!U113</f>
        <v>0</v>
      </c>
    </row>
    <row r="114" spans="1:8">
      <c r="A114" s="12" t="str">
        <f t="shared" si="1"/>
        <v>111-171618300331220</v>
      </c>
      <c r="B114">
        <f>'OneStream Pulls'!C114</f>
        <v>111</v>
      </c>
      <c r="C114">
        <f>'OneStream Pulls'!M114</f>
        <v>171</v>
      </c>
      <c r="D114">
        <f>'OneStream Pulls'!I114</f>
        <v>618300</v>
      </c>
      <c r="E114" s="11">
        <f>IF(ISNUMBER('OneStream Pulls'!P114),'OneStream Pulls'!P114,0)</f>
        <v>331220</v>
      </c>
      <c r="F114" t="str">
        <f>INDEX('User Inputs'!$I$3:$I$14,MATCH('OneStream Pulls'!G114,'User Inputs'!$G$3:$G$14,0))</f>
        <v>May</v>
      </c>
      <c r="G114" t="str">
        <f>LEFT('OneStream Pulls'!G114,4)</f>
        <v>2026</v>
      </c>
      <c r="H114">
        <f>'OneStream Pulls'!U114</f>
        <v>0</v>
      </c>
    </row>
    <row r="115" spans="1:8">
      <c r="A115" s="12" t="str">
        <f t="shared" si="1"/>
        <v>111-171618300331210</v>
      </c>
      <c r="B115">
        <f>'OneStream Pulls'!C115</f>
        <v>111</v>
      </c>
      <c r="C115">
        <f>'OneStream Pulls'!M115</f>
        <v>171</v>
      </c>
      <c r="D115">
        <f>'OneStream Pulls'!I115</f>
        <v>618300</v>
      </c>
      <c r="E115" s="11">
        <f>IF(ISNUMBER('OneStream Pulls'!P115),'OneStream Pulls'!P115,0)</f>
        <v>331210</v>
      </c>
      <c r="F115" t="str">
        <f>INDEX('User Inputs'!$I$3:$I$14,MATCH('OneStream Pulls'!G115,'User Inputs'!$G$3:$G$14,0))</f>
        <v>May</v>
      </c>
      <c r="G115" t="str">
        <f>LEFT('OneStream Pulls'!G115,4)</f>
        <v>2026</v>
      </c>
      <c r="H115">
        <f>'OneStream Pulls'!U115</f>
        <v>0</v>
      </c>
    </row>
    <row r="116" spans="1:8">
      <c r="A116" s="12" t="str">
        <f t="shared" si="1"/>
        <v>111-171618300331250</v>
      </c>
      <c r="B116">
        <f>'OneStream Pulls'!C116</f>
        <v>111</v>
      </c>
      <c r="C116">
        <f>'OneStream Pulls'!M116</f>
        <v>171</v>
      </c>
      <c r="D116">
        <f>'OneStream Pulls'!I116</f>
        <v>618300</v>
      </c>
      <c r="E116" s="11">
        <f>IF(ISNUMBER('OneStream Pulls'!P116),'OneStream Pulls'!P116,0)</f>
        <v>331250</v>
      </c>
      <c r="F116" t="str">
        <f>INDEX('User Inputs'!$I$3:$I$14,MATCH('OneStream Pulls'!G116,'User Inputs'!$G$3:$G$14,0))</f>
        <v>May</v>
      </c>
      <c r="G116" t="str">
        <f>LEFT('OneStream Pulls'!G116,4)</f>
        <v>2026</v>
      </c>
      <c r="H116">
        <f>'OneStream Pulls'!U116</f>
        <v>0</v>
      </c>
    </row>
    <row r="117" spans="1:8">
      <c r="A117" s="12" t="str">
        <f t="shared" si="1"/>
        <v>111-171618350331300</v>
      </c>
      <c r="B117">
        <f>'OneStream Pulls'!C117</f>
        <v>111</v>
      </c>
      <c r="C117">
        <f>'OneStream Pulls'!M117</f>
        <v>171</v>
      </c>
      <c r="D117">
        <f>'OneStream Pulls'!I117</f>
        <v>618350</v>
      </c>
      <c r="E117" s="11">
        <f>IF(ISNUMBER('OneStream Pulls'!P117),'OneStream Pulls'!P117,0)</f>
        <v>331300</v>
      </c>
      <c r="F117" t="str">
        <f>INDEX('User Inputs'!$I$3:$I$14,MATCH('OneStream Pulls'!G117,'User Inputs'!$G$3:$G$14,0))</f>
        <v>May</v>
      </c>
      <c r="G117" t="str">
        <f>LEFT('OneStream Pulls'!G117,4)</f>
        <v>2026</v>
      </c>
      <c r="H117">
        <f>'OneStream Pulls'!U117</f>
        <v>0</v>
      </c>
    </row>
    <row r="118" spans="1:8">
      <c r="A118" s="12" t="str">
        <f t="shared" si="1"/>
        <v>111-1716260880</v>
      </c>
      <c r="B118">
        <f>'OneStream Pulls'!C118</f>
        <v>111</v>
      </c>
      <c r="C118">
        <f>'OneStream Pulls'!M118</f>
        <v>171</v>
      </c>
      <c r="D118">
        <f>'OneStream Pulls'!I118</f>
        <v>626088</v>
      </c>
      <c r="E118" s="11">
        <f>IF(ISNUMBER('OneStream Pulls'!P118),'OneStream Pulls'!P118,0)</f>
        <v>0</v>
      </c>
      <c r="F118" t="str">
        <f>INDEX('User Inputs'!$I$3:$I$14,MATCH('OneStream Pulls'!G118,'User Inputs'!$G$3:$G$14,0))</f>
        <v>May</v>
      </c>
      <c r="G118" t="str">
        <f>LEFT('OneStream Pulls'!G118,4)</f>
        <v>2026</v>
      </c>
      <c r="H118">
        <f>'OneStream Pulls'!U118</f>
        <v>0</v>
      </c>
    </row>
    <row r="119" spans="1:8">
      <c r="A119" s="12" t="str">
        <f t="shared" si="1"/>
        <v>111-171629999331100</v>
      </c>
      <c r="B119">
        <f>'OneStream Pulls'!C119</f>
        <v>111</v>
      </c>
      <c r="C119">
        <f>'OneStream Pulls'!M119</f>
        <v>171</v>
      </c>
      <c r="D119">
        <f>'OneStream Pulls'!I119</f>
        <v>629999</v>
      </c>
      <c r="E119" s="11">
        <f>IF(ISNUMBER('OneStream Pulls'!P119),'OneStream Pulls'!P119,0)</f>
        <v>331100</v>
      </c>
      <c r="F119" t="str">
        <f>INDEX('User Inputs'!$I$3:$I$14,MATCH('OneStream Pulls'!G119,'User Inputs'!$G$3:$G$14,0))</f>
        <v>May</v>
      </c>
      <c r="G119" t="str">
        <f>LEFT('OneStream Pulls'!G119,4)</f>
        <v>2026</v>
      </c>
      <c r="H119">
        <f>'OneStream Pulls'!U119</f>
        <v>0</v>
      </c>
    </row>
    <row r="120" spans="1:8">
      <c r="A120" s="12" t="str">
        <f t="shared" si="1"/>
        <v>213-170611000330130</v>
      </c>
      <c r="B120">
        <f>'OneStream Pulls'!C120</f>
        <v>213</v>
      </c>
      <c r="C120">
        <f>'OneStream Pulls'!M120</f>
        <v>170</v>
      </c>
      <c r="D120">
        <f>'OneStream Pulls'!I120</f>
        <v>611000</v>
      </c>
      <c r="E120" s="11">
        <f>IF(ISNUMBER('OneStream Pulls'!P120),'OneStream Pulls'!P120,0)</f>
        <v>330130</v>
      </c>
      <c r="F120" t="str">
        <f>INDEX('User Inputs'!$I$3:$I$14,MATCH('OneStream Pulls'!G120,'User Inputs'!$G$3:$G$14,0))</f>
        <v>May</v>
      </c>
      <c r="G120" t="str">
        <f>LEFT('OneStream Pulls'!G120,4)</f>
        <v>2026</v>
      </c>
      <c r="H120">
        <f>'OneStream Pulls'!U120</f>
        <v>0</v>
      </c>
    </row>
    <row r="121" spans="1:8">
      <c r="A121" s="12" t="str">
        <f t="shared" si="1"/>
        <v>213-170611000330160</v>
      </c>
      <c r="B121">
        <f>'OneStream Pulls'!C121</f>
        <v>213</v>
      </c>
      <c r="C121">
        <f>'OneStream Pulls'!M121</f>
        <v>170</v>
      </c>
      <c r="D121">
        <f>'OneStream Pulls'!I121</f>
        <v>611000</v>
      </c>
      <c r="E121" s="11">
        <f>IF(ISNUMBER('OneStream Pulls'!P121),'OneStream Pulls'!P121,0)</f>
        <v>330160</v>
      </c>
      <c r="F121" t="str">
        <f>INDEX('User Inputs'!$I$3:$I$14,MATCH('OneStream Pulls'!G121,'User Inputs'!$G$3:$G$14,0))</f>
        <v>May</v>
      </c>
      <c r="G121" t="str">
        <f>LEFT('OneStream Pulls'!G121,4)</f>
        <v>2026</v>
      </c>
      <c r="H121">
        <f>'OneStream Pulls'!U121</f>
        <v>0</v>
      </c>
    </row>
    <row r="122" spans="1:8">
      <c r="A122" s="12" t="str">
        <f t="shared" si="1"/>
        <v>213-170611000330170</v>
      </c>
      <c r="B122">
        <f>'OneStream Pulls'!C122</f>
        <v>213</v>
      </c>
      <c r="C122">
        <f>'OneStream Pulls'!M122</f>
        <v>170</v>
      </c>
      <c r="D122">
        <f>'OneStream Pulls'!I122</f>
        <v>611000</v>
      </c>
      <c r="E122" s="11">
        <f>IF(ISNUMBER('OneStream Pulls'!P122),'OneStream Pulls'!P122,0)</f>
        <v>330170</v>
      </c>
      <c r="F122" t="str">
        <f>INDEX('User Inputs'!$I$3:$I$14,MATCH('OneStream Pulls'!G122,'User Inputs'!$G$3:$G$14,0))</f>
        <v>May</v>
      </c>
      <c r="G122" t="str">
        <f>LEFT('OneStream Pulls'!G122,4)</f>
        <v>2026</v>
      </c>
      <c r="H122">
        <f>'OneStream Pulls'!U122</f>
        <v>0</v>
      </c>
    </row>
    <row r="123" spans="1:8">
      <c r="A123" s="12" t="str">
        <f t="shared" si="1"/>
        <v>213-170611000330120</v>
      </c>
      <c r="B123">
        <f>'OneStream Pulls'!C123</f>
        <v>213</v>
      </c>
      <c r="C123">
        <f>'OneStream Pulls'!M123</f>
        <v>170</v>
      </c>
      <c r="D123">
        <f>'OneStream Pulls'!I123</f>
        <v>611000</v>
      </c>
      <c r="E123" s="11">
        <f>IF(ISNUMBER('OneStream Pulls'!P123),'OneStream Pulls'!P123,0)</f>
        <v>330120</v>
      </c>
      <c r="F123" t="str">
        <f>INDEX('User Inputs'!$I$3:$I$14,MATCH('OneStream Pulls'!G123,'User Inputs'!$G$3:$G$14,0))</f>
        <v>May</v>
      </c>
      <c r="G123" t="str">
        <f>LEFT('OneStream Pulls'!G123,4)</f>
        <v>2026</v>
      </c>
      <c r="H123">
        <f>'OneStream Pulls'!U123</f>
        <v>0</v>
      </c>
    </row>
    <row r="124" spans="1:8">
      <c r="A124" s="12" t="str">
        <f t="shared" si="1"/>
        <v>213-170611000330100</v>
      </c>
      <c r="B124">
        <f>'OneStream Pulls'!C124</f>
        <v>213</v>
      </c>
      <c r="C124">
        <f>'OneStream Pulls'!M124</f>
        <v>170</v>
      </c>
      <c r="D124">
        <f>'OneStream Pulls'!I124</f>
        <v>611000</v>
      </c>
      <c r="E124" s="11">
        <f>IF(ISNUMBER('OneStream Pulls'!P124),'OneStream Pulls'!P124,0)</f>
        <v>330100</v>
      </c>
      <c r="F124" t="str">
        <f>INDEX('User Inputs'!$I$3:$I$14,MATCH('OneStream Pulls'!G124,'User Inputs'!$G$3:$G$14,0))</f>
        <v>May</v>
      </c>
      <c r="G124" t="str">
        <f>LEFT('OneStream Pulls'!G124,4)</f>
        <v>2026</v>
      </c>
      <c r="H124">
        <f>'OneStream Pulls'!U124</f>
        <v>0</v>
      </c>
    </row>
    <row r="125" spans="1:8">
      <c r="A125" s="12" t="str">
        <f t="shared" si="1"/>
        <v>213-170611000330150</v>
      </c>
      <c r="B125">
        <f>'OneStream Pulls'!C125</f>
        <v>213</v>
      </c>
      <c r="C125">
        <f>'OneStream Pulls'!M125</f>
        <v>170</v>
      </c>
      <c r="D125">
        <f>'OneStream Pulls'!I125</f>
        <v>611000</v>
      </c>
      <c r="E125" s="11">
        <f>IF(ISNUMBER('OneStream Pulls'!P125),'OneStream Pulls'!P125,0)</f>
        <v>330150</v>
      </c>
      <c r="F125" t="str">
        <f>INDEX('User Inputs'!$I$3:$I$14,MATCH('OneStream Pulls'!G125,'User Inputs'!$G$3:$G$14,0))</f>
        <v>May</v>
      </c>
      <c r="G125" t="str">
        <f>LEFT('OneStream Pulls'!G125,4)</f>
        <v>2026</v>
      </c>
      <c r="H125">
        <f>'OneStream Pulls'!U125</f>
        <v>0</v>
      </c>
    </row>
    <row r="126" spans="1:8">
      <c r="A126" s="12" t="str">
        <f t="shared" si="1"/>
        <v>213-170611000330110</v>
      </c>
      <c r="B126">
        <f>'OneStream Pulls'!C126</f>
        <v>213</v>
      </c>
      <c r="C126">
        <f>'OneStream Pulls'!M126</f>
        <v>170</v>
      </c>
      <c r="D126">
        <f>'OneStream Pulls'!I126</f>
        <v>611000</v>
      </c>
      <c r="E126" s="11">
        <f>IF(ISNUMBER('OneStream Pulls'!P126),'OneStream Pulls'!P126,0)</f>
        <v>330110</v>
      </c>
      <c r="F126" t="str">
        <f>INDEX('User Inputs'!$I$3:$I$14,MATCH('OneStream Pulls'!G126,'User Inputs'!$G$3:$G$14,0))</f>
        <v>May</v>
      </c>
      <c r="G126" t="str">
        <f>LEFT('OneStream Pulls'!G126,4)</f>
        <v>2026</v>
      </c>
      <c r="H126">
        <f>'OneStream Pulls'!U126</f>
        <v>0</v>
      </c>
    </row>
    <row r="127" spans="1:8">
      <c r="A127" s="12" t="str">
        <f t="shared" si="1"/>
        <v>213-170611000330180</v>
      </c>
      <c r="B127">
        <f>'OneStream Pulls'!C127</f>
        <v>213</v>
      </c>
      <c r="C127">
        <f>'OneStream Pulls'!M127</f>
        <v>170</v>
      </c>
      <c r="D127">
        <f>'OneStream Pulls'!I127</f>
        <v>611000</v>
      </c>
      <c r="E127" s="11">
        <f>IF(ISNUMBER('OneStream Pulls'!P127),'OneStream Pulls'!P127,0)</f>
        <v>330180</v>
      </c>
      <c r="F127" t="str">
        <f>INDEX('User Inputs'!$I$3:$I$14,MATCH('OneStream Pulls'!G127,'User Inputs'!$G$3:$G$14,0))</f>
        <v>May</v>
      </c>
      <c r="G127" t="str">
        <f>LEFT('OneStream Pulls'!G127,4)</f>
        <v>2026</v>
      </c>
      <c r="H127">
        <f>'OneStream Pulls'!U127</f>
        <v>0</v>
      </c>
    </row>
    <row r="128" spans="1:8">
      <c r="A128" s="12" t="str">
        <f t="shared" si="1"/>
        <v>213-170611000331200</v>
      </c>
      <c r="B128">
        <f>'OneStream Pulls'!C128</f>
        <v>213</v>
      </c>
      <c r="C128">
        <f>'OneStream Pulls'!M128</f>
        <v>170</v>
      </c>
      <c r="D128">
        <f>'OneStream Pulls'!I128</f>
        <v>611000</v>
      </c>
      <c r="E128" s="11">
        <f>IF(ISNUMBER('OneStream Pulls'!P128),'OneStream Pulls'!P128,0)</f>
        <v>331200</v>
      </c>
      <c r="F128" t="str">
        <f>INDEX('User Inputs'!$I$3:$I$14,MATCH('OneStream Pulls'!G128,'User Inputs'!$G$3:$G$14,0))</f>
        <v>May</v>
      </c>
      <c r="G128" t="str">
        <f>LEFT('OneStream Pulls'!G128,4)</f>
        <v>2026</v>
      </c>
      <c r="H128">
        <f>'OneStream Pulls'!U128</f>
        <v>0</v>
      </c>
    </row>
    <row r="129" spans="1:8">
      <c r="A129" s="12" t="str">
        <f t="shared" si="1"/>
        <v>213-170611010330210</v>
      </c>
      <c r="B129">
        <f>'OneStream Pulls'!C129</f>
        <v>213</v>
      </c>
      <c r="C129">
        <f>'OneStream Pulls'!M129</f>
        <v>170</v>
      </c>
      <c r="D129">
        <f>'OneStream Pulls'!I129</f>
        <v>611010</v>
      </c>
      <c r="E129" s="11">
        <f>IF(ISNUMBER('OneStream Pulls'!P129),'OneStream Pulls'!P129,0)</f>
        <v>330210</v>
      </c>
      <c r="F129" t="str">
        <f>INDEX('User Inputs'!$I$3:$I$14,MATCH('OneStream Pulls'!G129,'User Inputs'!$G$3:$G$14,0))</f>
        <v>May</v>
      </c>
      <c r="G129" t="str">
        <f>LEFT('OneStream Pulls'!G129,4)</f>
        <v>2026</v>
      </c>
      <c r="H129">
        <f>'OneStream Pulls'!U129</f>
        <v>0</v>
      </c>
    </row>
    <row r="130" spans="1:8">
      <c r="A130" s="12" t="str">
        <f t="shared" si="1"/>
        <v>213-170611010330200</v>
      </c>
      <c r="B130">
        <f>'OneStream Pulls'!C130</f>
        <v>213</v>
      </c>
      <c r="C130">
        <f>'OneStream Pulls'!M130</f>
        <v>170</v>
      </c>
      <c r="D130">
        <f>'OneStream Pulls'!I130</f>
        <v>611010</v>
      </c>
      <c r="E130" s="11">
        <f>IF(ISNUMBER('OneStream Pulls'!P130),'OneStream Pulls'!P130,0)</f>
        <v>330200</v>
      </c>
      <c r="F130" t="str">
        <f>INDEX('User Inputs'!$I$3:$I$14,MATCH('OneStream Pulls'!G130,'User Inputs'!$G$3:$G$14,0))</f>
        <v>May</v>
      </c>
      <c r="G130" t="str">
        <f>LEFT('OneStream Pulls'!G130,4)</f>
        <v>2026</v>
      </c>
      <c r="H130">
        <f>'OneStream Pulls'!U130</f>
        <v>0</v>
      </c>
    </row>
    <row r="131" spans="1:8">
      <c r="A131" s="12" t="str">
        <f t="shared" ref="A131:A194" si="2">_xlfn.CONCAT(B131,"-",C131,D131,E131)</f>
        <v>213-170611010330220</v>
      </c>
      <c r="B131">
        <f>'OneStream Pulls'!C131</f>
        <v>213</v>
      </c>
      <c r="C131">
        <f>'OneStream Pulls'!M131</f>
        <v>170</v>
      </c>
      <c r="D131">
        <f>'OneStream Pulls'!I131</f>
        <v>611010</v>
      </c>
      <c r="E131" s="11">
        <f>IF(ISNUMBER('OneStream Pulls'!P131),'OneStream Pulls'!P131,0)</f>
        <v>330220</v>
      </c>
      <c r="F131" t="str">
        <f>INDEX('User Inputs'!$I$3:$I$14,MATCH('OneStream Pulls'!G131,'User Inputs'!$G$3:$G$14,0))</f>
        <v>May</v>
      </c>
      <c r="G131" t="str">
        <f>LEFT('OneStream Pulls'!G131,4)</f>
        <v>2026</v>
      </c>
      <c r="H131">
        <f>'OneStream Pulls'!U131</f>
        <v>0</v>
      </c>
    </row>
    <row r="132" spans="1:8">
      <c r="A132" s="12" t="str">
        <f t="shared" si="2"/>
        <v>213-170611010330250</v>
      </c>
      <c r="B132">
        <f>'OneStream Pulls'!C132</f>
        <v>213</v>
      </c>
      <c r="C132">
        <f>'OneStream Pulls'!M132</f>
        <v>170</v>
      </c>
      <c r="D132">
        <f>'OneStream Pulls'!I132</f>
        <v>611010</v>
      </c>
      <c r="E132" s="11">
        <f>IF(ISNUMBER('OneStream Pulls'!P132),'OneStream Pulls'!P132,0)</f>
        <v>330250</v>
      </c>
      <c r="F132" t="str">
        <f>INDEX('User Inputs'!$I$3:$I$14,MATCH('OneStream Pulls'!G132,'User Inputs'!$G$3:$G$14,0))</f>
        <v>May</v>
      </c>
      <c r="G132" t="str">
        <f>LEFT('OneStream Pulls'!G132,4)</f>
        <v>2026</v>
      </c>
      <c r="H132">
        <f>'OneStream Pulls'!U132</f>
        <v>0</v>
      </c>
    </row>
    <row r="133" spans="1:8">
      <c r="A133" s="12" t="str">
        <f t="shared" si="2"/>
        <v>213-170611010330230</v>
      </c>
      <c r="B133">
        <f>'OneStream Pulls'!C133</f>
        <v>213</v>
      </c>
      <c r="C133">
        <f>'OneStream Pulls'!M133</f>
        <v>170</v>
      </c>
      <c r="D133">
        <f>'OneStream Pulls'!I133</f>
        <v>611010</v>
      </c>
      <c r="E133" s="11">
        <f>IF(ISNUMBER('OneStream Pulls'!P133),'OneStream Pulls'!P133,0)</f>
        <v>330230</v>
      </c>
      <c r="F133" t="str">
        <f>INDEX('User Inputs'!$I$3:$I$14,MATCH('OneStream Pulls'!G133,'User Inputs'!$G$3:$G$14,0))</f>
        <v>May</v>
      </c>
      <c r="G133" t="str">
        <f>LEFT('OneStream Pulls'!G133,4)</f>
        <v>2026</v>
      </c>
      <c r="H133">
        <f>'OneStream Pulls'!U133</f>
        <v>0</v>
      </c>
    </row>
    <row r="134" spans="1:8">
      <c r="A134" s="12" t="str">
        <f t="shared" si="2"/>
        <v>213-170611010330260</v>
      </c>
      <c r="B134">
        <f>'OneStream Pulls'!C134</f>
        <v>213</v>
      </c>
      <c r="C134">
        <f>'OneStream Pulls'!M134</f>
        <v>170</v>
      </c>
      <c r="D134">
        <f>'OneStream Pulls'!I134</f>
        <v>611010</v>
      </c>
      <c r="E134" s="11">
        <f>IF(ISNUMBER('OneStream Pulls'!P134),'OneStream Pulls'!P134,0)</f>
        <v>330260</v>
      </c>
      <c r="F134" t="str">
        <f>INDEX('User Inputs'!$I$3:$I$14,MATCH('OneStream Pulls'!G134,'User Inputs'!$G$3:$G$14,0))</f>
        <v>May</v>
      </c>
      <c r="G134" t="str">
        <f>LEFT('OneStream Pulls'!G134,4)</f>
        <v>2026</v>
      </c>
      <c r="H134">
        <f>'OneStream Pulls'!U134</f>
        <v>0</v>
      </c>
    </row>
    <row r="135" spans="1:8">
      <c r="A135" s="12" t="str">
        <f t="shared" si="2"/>
        <v>213-170611010330240</v>
      </c>
      <c r="B135">
        <f>'OneStream Pulls'!C135</f>
        <v>213</v>
      </c>
      <c r="C135">
        <f>'OneStream Pulls'!M135</f>
        <v>170</v>
      </c>
      <c r="D135">
        <f>'OneStream Pulls'!I135</f>
        <v>611010</v>
      </c>
      <c r="E135" s="11">
        <f>IF(ISNUMBER('OneStream Pulls'!P135),'OneStream Pulls'!P135,0)</f>
        <v>330240</v>
      </c>
      <c r="F135" t="str">
        <f>INDEX('User Inputs'!$I$3:$I$14,MATCH('OneStream Pulls'!G135,'User Inputs'!$G$3:$G$14,0))</f>
        <v>May</v>
      </c>
      <c r="G135" t="str">
        <f>LEFT('OneStream Pulls'!G135,4)</f>
        <v>2026</v>
      </c>
      <c r="H135">
        <f>'OneStream Pulls'!U135</f>
        <v>0</v>
      </c>
    </row>
    <row r="136" spans="1:8">
      <c r="A136" s="12" t="str">
        <f t="shared" si="2"/>
        <v>213-170611020330330</v>
      </c>
      <c r="B136">
        <f>'OneStream Pulls'!C136</f>
        <v>213</v>
      </c>
      <c r="C136">
        <f>'OneStream Pulls'!M136</f>
        <v>170</v>
      </c>
      <c r="D136">
        <f>'OneStream Pulls'!I136</f>
        <v>611020</v>
      </c>
      <c r="E136" s="11">
        <f>IF(ISNUMBER('OneStream Pulls'!P136),'OneStream Pulls'!P136,0)</f>
        <v>330330</v>
      </c>
      <c r="F136" t="str">
        <f>INDEX('User Inputs'!$I$3:$I$14,MATCH('OneStream Pulls'!G136,'User Inputs'!$G$3:$G$14,0))</f>
        <v>May</v>
      </c>
      <c r="G136" t="str">
        <f>LEFT('OneStream Pulls'!G136,4)</f>
        <v>2026</v>
      </c>
      <c r="H136">
        <f>'OneStream Pulls'!U136</f>
        <v>0</v>
      </c>
    </row>
    <row r="137" spans="1:8">
      <c r="A137" s="12" t="str">
        <f t="shared" si="2"/>
        <v>213-170611020330300</v>
      </c>
      <c r="B137">
        <f>'OneStream Pulls'!C137</f>
        <v>213</v>
      </c>
      <c r="C137">
        <f>'OneStream Pulls'!M137</f>
        <v>170</v>
      </c>
      <c r="D137">
        <f>'OneStream Pulls'!I137</f>
        <v>611020</v>
      </c>
      <c r="E137" s="11">
        <f>IF(ISNUMBER('OneStream Pulls'!P137),'OneStream Pulls'!P137,0)</f>
        <v>330300</v>
      </c>
      <c r="F137" t="str">
        <f>INDEX('User Inputs'!$I$3:$I$14,MATCH('OneStream Pulls'!G137,'User Inputs'!$G$3:$G$14,0))</f>
        <v>May</v>
      </c>
      <c r="G137" t="str">
        <f>LEFT('OneStream Pulls'!G137,4)</f>
        <v>2026</v>
      </c>
      <c r="H137">
        <f>'OneStream Pulls'!U137</f>
        <v>0</v>
      </c>
    </row>
    <row r="138" spans="1:8">
      <c r="A138" s="12" t="str">
        <f t="shared" si="2"/>
        <v>213-170611020330340</v>
      </c>
      <c r="B138">
        <f>'OneStream Pulls'!C138</f>
        <v>213</v>
      </c>
      <c r="C138">
        <f>'OneStream Pulls'!M138</f>
        <v>170</v>
      </c>
      <c r="D138">
        <f>'OneStream Pulls'!I138</f>
        <v>611020</v>
      </c>
      <c r="E138" s="11">
        <f>IF(ISNUMBER('OneStream Pulls'!P138),'OneStream Pulls'!P138,0)</f>
        <v>330340</v>
      </c>
      <c r="F138" t="str">
        <f>INDEX('User Inputs'!$I$3:$I$14,MATCH('OneStream Pulls'!G138,'User Inputs'!$G$3:$G$14,0))</f>
        <v>May</v>
      </c>
      <c r="G138" t="str">
        <f>LEFT('OneStream Pulls'!G138,4)</f>
        <v>2026</v>
      </c>
      <c r="H138">
        <f>'OneStream Pulls'!U138</f>
        <v>0</v>
      </c>
    </row>
    <row r="139" spans="1:8">
      <c r="A139" s="12" t="str">
        <f t="shared" si="2"/>
        <v>213-170611020330350</v>
      </c>
      <c r="B139">
        <f>'OneStream Pulls'!C139</f>
        <v>213</v>
      </c>
      <c r="C139">
        <f>'OneStream Pulls'!M139</f>
        <v>170</v>
      </c>
      <c r="D139">
        <f>'OneStream Pulls'!I139</f>
        <v>611020</v>
      </c>
      <c r="E139" s="11">
        <f>IF(ISNUMBER('OneStream Pulls'!P139),'OneStream Pulls'!P139,0)</f>
        <v>330350</v>
      </c>
      <c r="F139" t="str">
        <f>INDEX('User Inputs'!$I$3:$I$14,MATCH('OneStream Pulls'!G139,'User Inputs'!$G$3:$G$14,0))</f>
        <v>May</v>
      </c>
      <c r="G139" t="str">
        <f>LEFT('OneStream Pulls'!G139,4)</f>
        <v>2026</v>
      </c>
      <c r="H139">
        <f>'OneStream Pulls'!U139</f>
        <v>0</v>
      </c>
    </row>
    <row r="140" spans="1:8">
      <c r="A140" s="12" t="str">
        <f t="shared" si="2"/>
        <v>213-170611020330320</v>
      </c>
      <c r="B140">
        <f>'OneStream Pulls'!C140</f>
        <v>213</v>
      </c>
      <c r="C140">
        <f>'OneStream Pulls'!M140</f>
        <v>170</v>
      </c>
      <c r="D140">
        <f>'OneStream Pulls'!I140</f>
        <v>611020</v>
      </c>
      <c r="E140" s="11">
        <f>IF(ISNUMBER('OneStream Pulls'!P140),'OneStream Pulls'!P140,0)</f>
        <v>330320</v>
      </c>
      <c r="F140" t="str">
        <f>INDEX('User Inputs'!$I$3:$I$14,MATCH('OneStream Pulls'!G140,'User Inputs'!$G$3:$G$14,0))</f>
        <v>May</v>
      </c>
      <c r="G140" t="str">
        <f>LEFT('OneStream Pulls'!G140,4)</f>
        <v>2026</v>
      </c>
      <c r="H140">
        <f>'OneStream Pulls'!U140</f>
        <v>0</v>
      </c>
    </row>
    <row r="141" spans="1:8">
      <c r="A141" s="12" t="str">
        <f t="shared" si="2"/>
        <v>213-170611020330360</v>
      </c>
      <c r="B141">
        <f>'OneStream Pulls'!C141</f>
        <v>213</v>
      </c>
      <c r="C141">
        <f>'OneStream Pulls'!M141</f>
        <v>170</v>
      </c>
      <c r="D141">
        <f>'OneStream Pulls'!I141</f>
        <v>611020</v>
      </c>
      <c r="E141" s="11">
        <f>IF(ISNUMBER('OneStream Pulls'!P141),'OneStream Pulls'!P141,0)</f>
        <v>330360</v>
      </c>
      <c r="F141" t="str">
        <f>INDEX('User Inputs'!$I$3:$I$14,MATCH('OneStream Pulls'!G141,'User Inputs'!$G$3:$G$14,0))</f>
        <v>May</v>
      </c>
      <c r="G141" t="str">
        <f>LEFT('OneStream Pulls'!G141,4)</f>
        <v>2026</v>
      </c>
      <c r="H141">
        <f>'OneStream Pulls'!U141</f>
        <v>0</v>
      </c>
    </row>
    <row r="142" spans="1:8">
      <c r="A142" s="12" t="str">
        <f t="shared" si="2"/>
        <v>213-170611020330370</v>
      </c>
      <c r="B142">
        <f>'OneStream Pulls'!C142</f>
        <v>213</v>
      </c>
      <c r="C142">
        <f>'OneStream Pulls'!M142</f>
        <v>170</v>
      </c>
      <c r="D142">
        <f>'OneStream Pulls'!I142</f>
        <v>611020</v>
      </c>
      <c r="E142" s="11">
        <f>IF(ISNUMBER('OneStream Pulls'!P142),'OneStream Pulls'!P142,0)</f>
        <v>330370</v>
      </c>
      <c r="F142" t="str">
        <f>INDEX('User Inputs'!$I$3:$I$14,MATCH('OneStream Pulls'!G142,'User Inputs'!$G$3:$G$14,0))</f>
        <v>May</v>
      </c>
      <c r="G142" t="str">
        <f>LEFT('OneStream Pulls'!G142,4)</f>
        <v>2026</v>
      </c>
      <c r="H142">
        <f>'OneStream Pulls'!U142</f>
        <v>0</v>
      </c>
    </row>
    <row r="143" spans="1:8">
      <c r="A143" s="12" t="str">
        <f t="shared" si="2"/>
        <v>213-170611020330310</v>
      </c>
      <c r="B143">
        <f>'OneStream Pulls'!C143</f>
        <v>213</v>
      </c>
      <c r="C143">
        <f>'OneStream Pulls'!M143</f>
        <v>170</v>
      </c>
      <c r="D143">
        <f>'OneStream Pulls'!I143</f>
        <v>611020</v>
      </c>
      <c r="E143" s="11">
        <f>IF(ISNUMBER('OneStream Pulls'!P143),'OneStream Pulls'!P143,0)</f>
        <v>330310</v>
      </c>
      <c r="F143" t="str">
        <f>INDEX('User Inputs'!$I$3:$I$14,MATCH('OneStream Pulls'!G143,'User Inputs'!$G$3:$G$14,0))</f>
        <v>May</v>
      </c>
      <c r="G143" t="str">
        <f>LEFT('OneStream Pulls'!G143,4)</f>
        <v>2026</v>
      </c>
      <c r="H143">
        <f>'OneStream Pulls'!U143</f>
        <v>0</v>
      </c>
    </row>
    <row r="144" spans="1:8">
      <c r="A144" s="12" t="str">
        <f t="shared" si="2"/>
        <v>213-170611020330380</v>
      </c>
      <c r="B144">
        <f>'OneStream Pulls'!C144</f>
        <v>213</v>
      </c>
      <c r="C144">
        <f>'OneStream Pulls'!M144</f>
        <v>170</v>
      </c>
      <c r="D144">
        <f>'OneStream Pulls'!I144</f>
        <v>611020</v>
      </c>
      <c r="E144" s="11">
        <f>IF(ISNUMBER('OneStream Pulls'!P144),'OneStream Pulls'!P144,0)</f>
        <v>330380</v>
      </c>
      <c r="F144" t="str">
        <f>INDEX('User Inputs'!$I$3:$I$14,MATCH('OneStream Pulls'!G144,'User Inputs'!$G$3:$G$14,0))</f>
        <v>May</v>
      </c>
      <c r="G144" t="str">
        <f>LEFT('OneStream Pulls'!G144,4)</f>
        <v>2026</v>
      </c>
      <c r="H144">
        <f>'OneStream Pulls'!U144</f>
        <v>0</v>
      </c>
    </row>
    <row r="145" spans="1:8">
      <c r="A145" s="12" t="str">
        <f t="shared" si="2"/>
        <v>213-170611030330420</v>
      </c>
      <c r="B145">
        <f>'OneStream Pulls'!C145</f>
        <v>213</v>
      </c>
      <c r="C145">
        <f>'OneStream Pulls'!M145</f>
        <v>170</v>
      </c>
      <c r="D145">
        <f>'OneStream Pulls'!I145</f>
        <v>611030</v>
      </c>
      <c r="E145" s="11">
        <f>IF(ISNUMBER('OneStream Pulls'!P145),'OneStream Pulls'!P145,0)</f>
        <v>330420</v>
      </c>
      <c r="F145" t="str">
        <f>INDEX('User Inputs'!$I$3:$I$14,MATCH('OneStream Pulls'!G145,'User Inputs'!$G$3:$G$14,0))</f>
        <v>May</v>
      </c>
      <c r="G145" t="str">
        <f>LEFT('OneStream Pulls'!G145,4)</f>
        <v>2026</v>
      </c>
      <c r="H145">
        <f>'OneStream Pulls'!U145</f>
        <v>0</v>
      </c>
    </row>
    <row r="146" spans="1:8">
      <c r="A146" s="12" t="str">
        <f t="shared" si="2"/>
        <v>213-170611030330430</v>
      </c>
      <c r="B146">
        <f>'OneStream Pulls'!C146</f>
        <v>213</v>
      </c>
      <c r="C146">
        <f>'OneStream Pulls'!M146</f>
        <v>170</v>
      </c>
      <c r="D146">
        <f>'OneStream Pulls'!I146</f>
        <v>611030</v>
      </c>
      <c r="E146" s="11">
        <f>IF(ISNUMBER('OneStream Pulls'!P146),'OneStream Pulls'!P146,0)</f>
        <v>330430</v>
      </c>
      <c r="F146" t="str">
        <f>INDEX('User Inputs'!$I$3:$I$14,MATCH('OneStream Pulls'!G146,'User Inputs'!$G$3:$G$14,0))</f>
        <v>May</v>
      </c>
      <c r="G146" t="str">
        <f>LEFT('OneStream Pulls'!G146,4)</f>
        <v>2026</v>
      </c>
      <c r="H146">
        <f>'OneStream Pulls'!U146</f>
        <v>0</v>
      </c>
    </row>
    <row r="147" spans="1:8">
      <c r="A147" s="12" t="str">
        <f t="shared" si="2"/>
        <v>213-170611030330435</v>
      </c>
      <c r="B147">
        <f>'OneStream Pulls'!C147</f>
        <v>213</v>
      </c>
      <c r="C147">
        <f>'OneStream Pulls'!M147</f>
        <v>170</v>
      </c>
      <c r="D147">
        <f>'OneStream Pulls'!I147</f>
        <v>611030</v>
      </c>
      <c r="E147" s="11">
        <f>IF(ISNUMBER('OneStream Pulls'!P147),'OneStream Pulls'!P147,0)</f>
        <v>330435</v>
      </c>
      <c r="F147" t="str">
        <f>INDEX('User Inputs'!$I$3:$I$14,MATCH('OneStream Pulls'!G147,'User Inputs'!$G$3:$G$14,0))</f>
        <v>May</v>
      </c>
      <c r="G147" t="str">
        <f>LEFT('OneStream Pulls'!G147,4)</f>
        <v>2026</v>
      </c>
      <c r="H147">
        <f>'OneStream Pulls'!U147</f>
        <v>0</v>
      </c>
    </row>
    <row r="148" spans="1:8">
      <c r="A148" s="12" t="str">
        <f t="shared" si="2"/>
        <v>213-170611030330440</v>
      </c>
      <c r="B148">
        <f>'OneStream Pulls'!C148</f>
        <v>213</v>
      </c>
      <c r="C148">
        <f>'OneStream Pulls'!M148</f>
        <v>170</v>
      </c>
      <c r="D148">
        <f>'OneStream Pulls'!I148</f>
        <v>611030</v>
      </c>
      <c r="E148" s="11">
        <f>IF(ISNUMBER('OneStream Pulls'!P148),'OneStream Pulls'!P148,0)</f>
        <v>330440</v>
      </c>
      <c r="F148" t="str">
        <f>INDEX('User Inputs'!$I$3:$I$14,MATCH('OneStream Pulls'!G148,'User Inputs'!$G$3:$G$14,0))</f>
        <v>May</v>
      </c>
      <c r="G148" t="str">
        <f>LEFT('OneStream Pulls'!G148,4)</f>
        <v>2026</v>
      </c>
      <c r="H148">
        <f>'OneStream Pulls'!U148</f>
        <v>0</v>
      </c>
    </row>
    <row r="149" spans="1:8">
      <c r="A149" s="12" t="str">
        <f t="shared" si="2"/>
        <v>213-170611030330445</v>
      </c>
      <c r="B149">
        <f>'OneStream Pulls'!C149</f>
        <v>213</v>
      </c>
      <c r="C149">
        <f>'OneStream Pulls'!M149</f>
        <v>170</v>
      </c>
      <c r="D149">
        <f>'OneStream Pulls'!I149</f>
        <v>611030</v>
      </c>
      <c r="E149" s="11">
        <f>IF(ISNUMBER('OneStream Pulls'!P149),'OneStream Pulls'!P149,0)</f>
        <v>330445</v>
      </c>
      <c r="F149" t="str">
        <f>INDEX('User Inputs'!$I$3:$I$14,MATCH('OneStream Pulls'!G149,'User Inputs'!$G$3:$G$14,0))</f>
        <v>May</v>
      </c>
      <c r="G149" t="str">
        <f>LEFT('OneStream Pulls'!G149,4)</f>
        <v>2026</v>
      </c>
      <c r="H149">
        <f>'OneStream Pulls'!U149</f>
        <v>0</v>
      </c>
    </row>
    <row r="150" spans="1:8">
      <c r="A150" s="12" t="str">
        <f t="shared" si="2"/>
        <v>213-170611030330410</v>
      </c>
      <c r="B150">
        <f>'OneStream Pulls'!C150</f>
        <v>213</v>
      </c>
      <c r="C150">
        <f>'OneStream Pulls'!M150</f>
        <v>170</v>
      </c>
      <c r="D150">
        <f>'OneStream Pulls'!I150</f>
        <v>611030</v>
      </c>
      <c r="E150" s="11">
        <f>IF(ISNUMBER('OneStream Pulls'!P150),'OneStream Pulls'!P150,0)</f>
        <v>330410</v>
      </c>
      <c r="F150" t="str">
        <f>INDEX('User Inputs'!$I$3:$I$14,MATCH('OneStream Pulls'!G150,'User Inputs'!$G$3:$G$14,0))</f>
        <v>May</v>
      </c>
      <c r="G150" t="str">
        <f>LEFT('OneStream Pulls'!G150,4)</f>
        <v>2026</v>
      </c>
      <c r="H150">
        <f>'OneStream Pulls'!U150</f>
        <v>0</v>
      </c>
    </row>
    <row r="151" spans="1:8">
      <c r="A151" s="12" t="str">
        <f t="shared" si="2"/>
        <v>213-170611040330450</v>
      </c>
      <c r="B151">
        <f>'OneStream Pulls'!C151</f>
        <v>213</v>
      </c>
      <c r="C151">
        <f>'OneStream Pulls'!M151</f>
        <v>170</v>
      </c>
      <c r="D151">
        <f>'OneStream Pulls'!I151</f>
        <v>611040</v>
      </c>
      <c r="E151" s="11">
        <f>IF(ISNUMBER('OneStream Pulls'!P151),'OneStream Pulls'!P151,0)</f>
        <v>330450</v>
      </c>
      <c r="F151" t="str">
        <f>INDEX('User Inputs'!$I$3:$I$14,MATCH('OneStream Pulls'!G151,'User Inputs'!$G$3:$G$14,0))</f>
        <v>May</v>
      </c>
      <c r="G151" t="str">
        <f>LEFT('OneStream Pulls'!G151,4)</f>
        <v>2026</v>
      </c>
      <c r="H151">
        <f>'OneStream Pulls'!U151</f>
        <v>0</v>
      </c>
    </row>
    <row r="152" spans="1:8">
      <c r="A152" s="12" t="str">
        <f t="shared" si="2"/>
        <v>213-170611588330915</v>
      </c>
      <c r="B152">
        <f>'OneStream Pulls'!C152</f>
        <v>213</v>
      </c>
      <c r="C152">
        <f>'OneStream Pulls'!M152</f>
        <v>170</v>
      </c>
      <c r="D152">
        <f>'OneStream Pulls'!I152</f>
        <v>611588</v>
      </c>
      <c r="E152" s="11">
        <f>IF(ISNUMBER('OneStream Pulls'!P152),'OneStream Pulls'!P152,0)</f>
        <v>330915</v>
      </c>
      <c r="F152" t="str">
        <f>INDEX('User Inputs'!$I$3:$I$14,MATCH('OneStream Pulls'!G152,'User Inputs'!$G$3:$G$14,0))</f>
        <v>May</v>
      </c>
      <c r="G152" t="str">
        <f>LEFT('OneStream Pulls'!G152,4)</f>
        <v>2026</v>
      </c>
      <c r="H152">
        <f>'OneStream Pulls'!U152</f>
        <v>0</v>
      </c>
    </row>
    <row r="153" spans="1:8">
      <c r="A153" s="12" t="str">
        <f t="shared" si="2"/>
        <v>213-170614100330500</v>
      </c>
      <c r="B153">
        <f>'OneStream Pulls'!C153</f>
        <v>213</v>
      </c>
      <c r="C153">
        <f>'OneStream Pulls'!M153</f>
        <v>170</v>
      </c>
      <c r="D153">
        <f>'OneStream Pulls'!I153</f>
        <v>614100</v>
      </c>
      <c r="E153" s="11">
        <f>IF(ISNUMBER('OneStream Pulls'!P153),'OneStream Pulls'!P153,0)</f>
        <v>330500</v>
      </c>
      <c r="F153" t="str">
        <f>INDEX('User Inputs'!$I$3:$I$14,MATCH('OneStream Pulls'!G153,'User Inputs'!$G$3:$G$14,0))</f>
        <v>May</v>
      </c>
      <c r="G153" t="str">
        <f>LEFT('OneStream Pulls'!G153,4)</f>
        <v>2026</v>
      </c>
      <c r="H153">
        <f>'OneStream Pulls'!U153</f>
        <v>0</v>
      </c>
    </row>
    <row r="154" spans="1:8">
      <c r="A154" s="12" t="str">
        <f t="shared" si="2"/>
        <v>213-170614200330610</v>
      </c>
      <c r="B154">
        <f>'OneStream Pulls'!C154</f>
        <v>213</v>
      </c>
      <c r="C154">
        <f>'OneStream Pulls'!M154</f>
        <v>170</v>
      </c>
      <c r="D154">
        <f>'OneStream Pulls'!I154</f>
        <v>614200</v>
      </c>
      <c r="E154" s="11">
        <f>IF(ISNUMBER('OneStream Pulls'!P154),'OneStream Pulls'!P154,0)</f>
        <v>330610</v>
      </c>
      <c r="F154" t="str">
        <f>INDEX('User Inputs'!$I$3:$I$14,MATCH('OneStream Pulls'!G154,'User Inputs'!$G$3:$G$14,0))</f>
        <v>May</v>
      </c>
      <c r="G154" t="str">
        <f>LEFT('OneStream Pulls'!G154,4)</f>
        <v>2026</v>
      </c>
      <c r="H154">
        <f>'OneStream Pulls'!U154</f>
        <v>0</v>
      </c>
    </row>
    <row r="155" spans="1:8">
      <c r="A155" s="12" t="str">
        <f t="shared" si="2"/>
        <v>213-170614200330600</v>
      </c>
      <c r="B155">
        <f>'OneStream Pulls'!C155</f>
        <v>213</v>
      </c>
      <c r="C155">
        <f>'OneStream Pulls'!M155</f>
        <v>170</v>
      </c>
      <c r="D155">
        <f>'OneStream Pulls'!I155</f>
        <v>614200</v>
      </c>
      <c r="E155" s="11">
        <f>IF(ISNUMBER('OneStream Pulls'!P155),'OneStream Pulls'!P155,0)</f>
        <v>330600</v>
      </c>
      <c r="F155" t="str">
        <f>INDEX('User Inputs'!$I$3:$I$14,MATCH('OneStream Pulls'!G155,'User Inputs'!$G$3:$G$14,0))</f>
        <v>May</v>
      </c>
      <c r="G155" t="str">
        <f>LEFT('OneStream Pulls'!G155,4)</f>
        <v>2026</v>
      </c>
      <c r="H155">
        <f>'OneStream Pulls'!U155</f>
        <v>0</v>
      </c>
    </row>
    <row r="156" spans="1:8">
      <c r="A156" s="12" t="str">
        <f t="shared" si="2"/>
        <v>213-170614200330620</v>
      </c>
      <c r="B156">
        <f>'OneStream Pulls'!C156</f>
        <v>213</v>
      </c>
      <c r="C156">
        <f>'OneStream Pulls'!M156</f>
        <v>170</v>
      </c>
      <c r="D156">
        <f>'OneStream Pulls'!I156</f>
        <v>614200</v>
      </c>
      <c r="E156" s="11">
        <f>IF(ISNUMBER('OneStream Pulls'!P156),'OneStream Pulls'!P156,0)</f>
        <v>330620</v>
      </c>
      <c r="F156" t="str">
        <f>INDEX('User Inputs'!$I$3:$I$14,MATCH('OneStream Pulls'!G156,'User Inputs'!$G$3:$G$14,0))</f>
        <v>May</v>
      </c>
      <c r="G156" t="str">
        <f>LEFT('OneStream Pulls'!G156,4)</f>
        <v>2026</v>
      </c>
      <c r="H156">
        <f>'OneStream Pulls'!U156</f>
        <v>0</v>
      </c>
    </row>
    <row r="157" spans="1:8">
      <c r="A157" s="12" t="str">
        <f t="shared" si="2"/>
        <v>213-170614200330630</v>
      </c>
      <c r="B157">
        <f>'OneStream Pulls'!C157</f>
        <v>213</v>
      </c>
      <c r="C157">
        <f>'OneStream Pulls'!M157</f>
        <v>170</v>
      </c>
      <c r="D157">
        <f>'OneStream Pulls'!I157</f>
        <v>614200</v>
      </c>
      <c r="E157" s="11">
        <f>IF(ISNUMBER('OneStream Pulls'!P157),'OneStream Pulls'!P157,0)</f>
        <v>330630</v>
      </c>
      <c r="F157" t="str">
        <f>INDEX('User Inputs'!$I$3:$I$14,MATCH('OneStream Pulls'!G157,'User Inputs'!$G$3:$G$14,0))</f>
        <v>May</v>
      </c>
      <c r="G157" t="str">
        <f>LEFT('OneStream Pulls'!G157,4)</f>
        <v>2026</v>
      </c>
      <c r="H157">
        <f>'OneStream Pulls'!U157</f>
        <v>0</v>
      </c>
    </row>
    <row r="158" spans="1:8">
      <c r="A158" s="12" t="str">
        <f t="shared" si="2"/>
        <v>213-170616000330710</v>
      </c>
      <c r="B158">
        <f>'OneStream Pulls'!C158</f>
        <v>213</v>
      </c>
      <c r="C158">
        <f>'OneStream Pulls'!M158</f>
        <v>170</v>
      </c>
      <c r="D158">
        <f>'OneStream Pulls'!I158</f>
        <v>616000</v>
      </c>
      <c r="E158" s="11">
        <f>IF(ISNUMBER('OneStream Pulls'!P158),'OneStream Pulls'!P158,0)</f>
        <v>330710</v>
      </c>
      <c r="F158" t="str">
        <f>INDEX('User Inputs'!$I$3:$I$14,MATCH('OneStream Pulls'!G158,'User Inputs'!$G$3:$G$14,0))</f>
        <v>May</v>
      </c>
      <c r="G158" t="str">
        <f>LEFT('OneStream Pulls'!G158,4)</f>
        <v>2026</v>
      </c>
      <c r="H158">
        <f>'OneStream Pulls'!U158</f>
        <v>0</v>
      </c>
    </row>
    <row r="159" spans="1:8">
      <c r="A159" s="12" t="str">
        <f t="shared" si="2"/>
        <v>213-170616000330700</v>
      </c>
      <c r="B159">
        <f>'OneStream Pulls'!C159</f>
        <v>213</v>
      </c>
      <c r="C159">
        <f>'OneStream Pulls'!M159</f>
        <v>170</v>
      </c>
      <c r="D159">
        <f>'OneStream Pulls'!I159</f>
        <v>616000</v>
      </c>
      <c r="E159" s="11">
        <f>IF(ISNUMBER('OneStream Pulls'!P159),'OneStream Pulls'!P159,0)</f>
        <v>330700</v>
      </c>
      <c r="F159" t="str">
        <f>INDEX('User Inputs'!$I$3:$I$14,MATCH('OneStream Pulls'!G159,'User Inputs'!$G$3:$G$14,0))</f>
        <v>May</v>
      </c>
      <c r="G159" t="str">
        <f>LEFT('OneStream Pulls'!G159,4)</f>
        <v>2026</v>
      </c>
      <c r="H159">
        <f>'OneStream Pulls'!U159</f>
        <v>0</v>
      </c>
    </row>
    <row r="160" spans="1:8">
      <c r="A160" s="12" t="str">
        <f t="shared" si="2"/>
        <v>213-170618000330800</v>
      </c>
      <c r="B160">
        <f>'OneStream Pulls'!C160</f>
        <v>213</v>
      </c>
      <c r="C160">
        <f>'OneStream Pulls'!M160</f>
        <v>170</v>
      </c>
      <c r="D160">
        <f>'OneStream Pulls'!I160</f>
        <v>618000</v>
      </c>
      <c r="E160" s="11">
        <f>IF(ISNUMBER('OneStream Pulls'!P160),'OneStream Pulls'!P160,0)</f>
        <v>330800</v>
      </c>
      <c r="F160" t="str">
        <f>INDEX('User Inputs'!$I$3:$I$14,MATCH('OneStream Pulls'!G160,'User Inputs'!$G$3:$G$14,0))</f>
        <v>May</v>
      </c>
      <c r="G160" t="str">
        <f>LEFT('OneStream Pulls'!G160,4)</f>
        <v>2026</v>
      </c>
      <c r="H160">
        <f>'OneStream Pulls'!U160</f>
        <v>0</v>
      </c>
    </row>
    <row r="161" spans="1:8">
      <c r="A161" s="12" t="str">
        <f t="shared" si="2"/>
        <v>213-170618050330900</v>
      </c>
      <c r="B161">
        <f>'OneStream Pulls'!C161</f>
        <v>213</v>
      </c>
      <c r="C161">
        <f>'OneStream Pulls'!M161</f>
        <v>170</v>
      </c>
      <c r="D161">
        <f>'OneStream Pulls'!I161</f>
        <v>618050</v>
      </c>
      <c r="E161" s="11">
        <f>IF(ISNUMBER('OneStream Pulls'!P161),'OneStream Pulls'!P161,0)</f>
        <v>330900</v>
      </c>
      <c r="F161" t="str">
        <f>INDEX('User Inputs'!$I$3:$I$14,MATCH('OneStream Pulls'!G161,'User Inputs'!$G$3:$G$14,0))</f>
        <v>May</v>
      </c>
      <c r="G161" t="str">
        <f>LEFT('OneStream Pulls'!G161,4)</f>
        <v>2026</v>
      </c>
      <c r="H161">
        <f>'OneStream Pulls'!U161</f>
        <v>0</v>
      </c>
    </row>
    <row r="162" spans="1:8">
      <c r="A162" s="12" t="str">
        <f t="shared" si="2"/>
        <v>213-170618050330910</v>
      </c>
      <c r="B162">
        <f>'OneStream Pulls'!C162</f>
        <v>213</v>
      </c>
      <c r="C162">
        <f>'OneStream Pulls'!M162</f>
        <v>170</v>
      </c>
      <c r="D162">
        <f>'OneStream Pulls'!I162</f>
        <v>618050</v>
      </c>
      <c r="E162" s="11">
        <f>IF(ISNUMBER('OneStream Pulls'!P162),'OneStream Pulls'!P162,0)</f>
        <v>330910</v>
      </c>
      <c r="F162" t="str">
        <f>INDEX('User Inputs'!$I$3:$I$14,MATCH('OneStream Pulls'!G162,'User Inputs'!$G$3:$G$14,0))</f>
        <v>May</v>
      </c>
      <c r="G162" t="str">
        <f>LEFT('OneStream Pulls'!G162,4)</f>
        <v>2026</v>
      </c>
      <c r="H162">
        <f>'OneStream Pulls'!U162</f>
        <v>0</v>
      </c>
    </row>
    <row r="163" spans="1:8">
      <c r="A163" s="12" t="str">
        <f t="shared" si="2"/>
        <v>213-170618200330920</v>
      </c>
      <c r="B163">
        <f>'OneStream Pulls'!C163</f>
        <v>213</v>
      </c>
      <c r="C163">
        <f>'OneStream Pulls'!M163</f>
        <v>170</v>
      </c>
      <c r="D163">
        <f>'OneStream Pulls'!I163</f>
        <v>618200</v>
      </c>
      <c r="E163" s="11">
        <f>IF(ISNUMBER('OneStream Pulls'!P163),'OneStream Pulls'!P163,0)</f>
        <v>330920</v>
      </c>
      <c r="F163" t="str">
        <f>INDEX('User Inputs'!$I$3:$I$14,MATCH('OneStream Pulls'!G163,'User Inputs'!$G$3:$G$14,0))</f>
        <v>May</v>
      </c>
      <c r="G163" t="str">
        <f>LEFT('OneStream Pulls'!G163,4)</f>
        <v>2026</v>
      </c>
      <c r="H163">
        <f>'OneStream Pulls'!U163</f>
        <v>0</v>
      </c>
    </row>
    <row r="164" spans="1:8">
      <c r="A164" s="12" t="str">
        <f t="shared" si="2"/>
        <v>213-170618250331020</v>
      </c>
      <c r="B164">
        <f>'OneStream Pulls'!C164</f>
        <v>213</v>
      </c>
      <c r="C164">
        <f>'OneStream Pulls'!M164</f>
        <v>170</v>
      </c>
      <c r="D164">
        <f>'OneStream Pulls'!I164</f>
        <v>618250</v>
      </c>
      <c r="E164" s="11">
        <f>IF(ISNUMBER('OneStream Pulls'!P164),'OneStream Pulls'!P164,0)</f>
        <v>331020</v>
      </c>
      <c r="F164" t="str">
        <f>INDEX('User Inputs'!$I$3:$I$14,MATCH('OneStream Pulls'!G164,'User Inputs'!$G$3:$G$14,0))</f>
        <v>May</v>
      </c>
      <c r="G164" t="str">
        <f>LEFT('OneStream Pulls'!G164,4)</f>
        <v>2026</v>
      </c>
      <c r="H164">
        <f>'OneStream Pulls'!U164</f>
        <v>0</v>
      </c>
    </row>
    <row r="165" spans="1:8">
      <c r="A165" s="12" t="str">
        <f t="shared" si="2"/>
        <v>213-170618250331000</v>
      </c>
      <c r="B165">
        <f>'OneStream Pulls'!C165</f>
        <v>213</v>
      </c>
      <c r="C165">
        <f>'OneStream Pulls'!M165</f>
        <v>170</v>
      </c>
      <c r="D165">
        <f>'OneStream Pulls'!I165</f>
        <v>618250</v>
      </c>
      <c r="E165" s="11">
        <f>IF(ISNUMBER('OneStream Pulls'!P165),'OneStream Pulls'!P165,0)</f>
        <v>331000</v>
      </c>
      <c r="F165" t="str">
        <f>INDEX('User Inputs'!$I$3:$I$14,MATCH('OneStream Pulls'!G165,'User Inputs'!$G$3:$G$14,0))</f>
        <v>May</v>
      </c>
      <c r="G165" t="str">
        <f>LEFT('OneStream Pulls'!G165,4)</f>
        <v>2026</v>
      </c>
      <c r="H165">
        <f>'OneStream Pulls'!U165</f>
        <v>0</v>
      </c>
    </row>
    <row r="166" spans="1:8">
      <c r="A166" s="12" t="str">
        <f t="shared" si="2"/>
        <v>213-170618250331050</v>
      </c>
      <c r="B166">
        <f>'OneStream Pulls'!C166</f>
        <v>213</v>
      </c>
      <c r="C166">
        <f>'OneStream Pulls'!M166</f>
        <v>170</v>
      </c>
      <c r="D166">
        <f>'OneStream Pulls'!I166</f>
        <v>618250</v>
      </c>
      <c r="E166" s="11">
        <f>IF(ISNUMBER('OneStream Pulls'!P166),'OneStream Pulls'!P166,0)</f>
        <v>331050</v>
      </c>
      <c r="F166" t="str">
        <f>INDEX('User Inputs'!$I$3:$I$14,MATCH('OneStream Pulls'!G166,'User Inputs'!$G$3:$G$14,0))</f>
        <v>May</v>
      </c>
      <c r="G166" t="str">
        <f>LEFT('OneStream Pulls'!G166,4)</f>
        <v>2026</v>
      </c>
      <c r="H166">
        <f>'OneStream Pulls'!U166</f>
        <v>0</v>
      </c>
    </row>
    <row r="167" spans="1:8">
      <c r="A167" s="12" t="str">
        <f t="shared" si="2"/>
        <v>213-170618250331040</v>
      </c>
      <c r="B167">
        <f>'OneStream Pulls'!C167</f>
        <v>213</v>
      </c>
      <c r="C167">
        <f>'OneStream Pulls'!M167</f>
        <v>170</v>
      </c>
      <c r="D167">
        <f>'OneStream Pulls'!I167</f>
        <v>618250</v>
      </c>
      <c r="E167" s="11">
        <f>IF(ISNUMBER('OneStream Pulls'!P167),'OneStream Pulls'!P167,0)</f>
        <v>331040</v>
      </c>
      <c r="F167" t="str">
        <f>INDEX('User Inputs'!$I$3:$I$14,MATCH('OneStream Pulls'!G167,'User Inputs'!$G$3:$G$14,0))</f>
        <v>May</v>
      </c>
      <c r="G167" t="str">
        <f>LEFT('OneStream Pulls'!G167,4)</f>
        <v>2026</v>
      </c>
      <c r="H167">
        <f>'OneStream Pulls'!U167</f>
        <v>0</v>
      </c>
    </row>
    <row r="168" spans="1:8">
      <c r="A168" s="12" t="str">
        <f t="shared" si="2"/>
        <v>213-170618250331030</v>
      </c>
      <c r="B168">
        <f>'OneStream Pulls'!C168</f>
        <v>213</v>
      </c>
      <c r="C168">
        <f>'OneStream Pulls'!M168</f>
        <v>170</v>
      </c>
      <c r="D168">
        <f>'OneStream Pulls'!I168</f>
        <v>618250</v>
      </c>
      <c r="E168" s="11">
        <f>IF(ISNUMBER('OneStream Pulls'!P168),'OneStream Pulls'!P168,0)</f>
        <v>331030</v>
      </c>
      <c r="F168" t="str">
        <f>INDEX('User Inputs'!$I$3:$I$14,MATCH('OneStream Pulls'!G168,'User Inputs'!$G$3:$G$14,0))</f>
        <v>May</v>
      </c>
      <c r="G168" t="str">
        <f>LEFT('OneStream Pulls'!G168,4)</f>
        <v>2026</v>
      </c>
      <c r="H168">
        <f>'OneStream Pulls'!U168</f>
        <v>0</v>
      </c>
    </row>
    <row r="169" spans="1:8">
      <c r="A169" s="12" t="str">
        <f t="shared" si="2"/>
        <v>213-170618250331010</v>
      </c>
      <c r="B169">
        <f>'OneStream Pulls'!C169</f>
        <v>213</v>
      </c>
      <c r="C169">
        <f>'OneStream Pulls'!M169</f>
        <v>170</v>
      </c>
      <c r="D169">
        <f>'OneStream Pulls'!I169</f>
        <v>618250</v>
      </c>
      <c r="E169" s="11">
        <f>IF(ISNUMBER('OneStream Pulls'!P169),'OneStream Pulls'!P169,0)</f>
        <v>331010</v>
      </c>
      <c r="F169" t="str">
        <f>INDEX('User Inputs'!$I$3:$I$14,MATCH('OneStream Pulls'!G169,'User Inputs'!$G$3:$G$14,0))</f>
        <v>May</v>
      </c>
      <c r="G169" t="str">
        <f>LEFT('OneStream Pulls'!G169,4)</f>
        <v>2026</v>
      </c>
      <c r="H169">
        <f>'OneStream Pulls'!U169</f>
        <v>0</v>
      </c>
    </row>
    <row r="170" spans="1:8">
      <c r="A170" s="12" t="str">
        <f t="shared" si="2"/>
        <v>213-170618300331200</v>
      </c>
      <c r="B170">
        <f>'OneStream Pulls'!C170</f>
        <v>213</v>
      </c>
      <c r="C170">
        <f>'OneStream Pulls'!M170</f>
        <v>170</v>
      </c>
      <c r="D170">
        <f>'OneStream Pulls'!I170</f>
        <v>618300</v>
      </c>
      <c r="E170" s="11">
        <f>IF(ISNUMBER('OneStream Pulls'!P170),'OneStream Pulls'!P170,0)</f>
        <v>331200</v>
      </c>
      <c r="F170" t="str">
        <f>INDEX('User Inputs'!$I$3:$I$14,MATCH('OneStream Pulls'!G170,'User Inputs'!$G$3:$G$14,0))</f>
        <v>May</v>
      </c>
      <c r="G170" t="str">
        <f>LEFT('OneStream Pulls'!G170,4)</f>
        <v>2026</v>
      </c>
      <c r="H170">
        <f>'OneStream Pulls'!U170</f>
        <v>0</v>
      </c>
    </row>
    <row r="171" spans="1:8">
      <c r="A171" s="12" t="str">
        <f t="shared" si="2"/>
        <v>213-170618300331240</v>
      </c>
      <c r="B171">
        <f>'OneStream Pulls'!C171</f>
        <v>213</v>
      </c>
      <c r="C171">
        <f>'OneStream Pulls'!M171</f>
        <v>170</v>
      </c>
      <c r="D171">
        <f>'OneStream Pulls'!I171</f>
        <v>618300</v>
      </c>
      <c r="E171" s="11">
        <f>IF(ISNUMBER('OneStream Pulls'!P171),'OneStream Pulls'!P171,0)</f>
        <v>331240</v>
      </c>
      <c r="F171" t="str">
        <f>INDEX('User Inputs'!$I$3:$I$14,MATCH('OneStream Pulls'!G171,'User Inputs'!$G$3:$G$14,0))</f>
        <v>May</v>
      </c>
      <c r="G171" t="str">
        <f>LEFT('OneStream Pulls'!G171,4)</f>
        <v>2026</v>
      </c>
      <c r="H171">
        <f>'OneStream Pulls'!U171</f>
        <v>0</v>
      </c>
    </row>
    <row r="172" spans="1:8">
      <c r="A172" s="12" t="str">
        <f t="shared" si="2"/>
        <v>213-170618300331230</v>
      </c>
      <c r="B172">
        <f>'OneStream Pulls'!C172</f>
        <v>213</v>
      </c>
      <c r="C172">
        <f>'OneStream Pulls'!M172</f>
        <v>170</v>
      </c>
      <c r="D172">
        <f>'OneStream Pulls'!I172</f>
        <v>618300</v>
      </c>
      <c r="E172" s="11">
        <f>IF(ISNUMBER('OneStream Pulls'!P172),'OneStream Pulls'!P172,0)</f>
        <v>331230</v>
      </c>
      <c r="F172" t="str">
        <f>INDEX('User Inputs'!$I$3:$I$14,MATCH('OneStream Pulls'!G172,'User Inputs'!$G$3:$G$14,0))</f>
        <v>May</v>
      </c>
      <c r="G172" t="str">
        <f>LEFT('OneStream Pulls'!G172,4)</f>
        <v>2026</v>
      </c>
      <c r="H172">
        <f>'OneStream Pulls'!U172</f>
        <v>0</v>
      </c>
    </row>
    <row r="173" spans="1:8">
      <c r="A173" s="12" t="str">
        <f t="shared" si="2"/>
        <v>213-170618300331220</v>
      </c>
      <c r="B173">
        <f>'OneStream Pulls'!C173</f>
        <v>213</v>
      </c>
      <c r="C173">
        <f>'OneStream Pulls'!M173</f>
        <v>170</v>
      </c>
      <c r="D173">
        <f>'OneStream Pulls'!I173</f>
        <v>618300</v>
      </c>
      <c r="E173" s="11">
        <f>IF(ISNUMBER('OneStream Pulls'!P173),'OneStream Pulls'!P173,0)</f>
        <v>331220</v>
      </c>
      <c r="F173" t="str">
        <f>INDEX('User Inputs'!$I$3:$I$14,MATCH('OneStream Pulls'!G173,'User Inputs'!$G$3:$G$14,0))</f>
        <v>May</v>
      </c>
      <c r="G173" t="str">
        <f>LEFT('OneStream Pulls'!G173,4)</f>
        <v>2026</v>
      </c>
      <c r="H173">
        <f>'OneStream Pulls'!U173</f>
        <v>0</v>
      </c>
    </row>
    <row r="174" spans="1:8">
      <c r="A174" s="12" t="str">
        <f t="shared" si="2"/>
        <v>213-170618300331210</v>
      </c>
      <c r="B174">
        <f>'OneStream Pulls'!C174</f>
        <v>213</v>
      </c>
      <c r="C174">
        <f>'OneStream Pulls'!M174</f>
        <v>170</v>
      </c>
      <c r="D174">
        <f>'OneStream Pulls'!I174</f>
        <v>618300</v>
      </c>
      <c r="E174" s="11">
        <f>IF(ISNUMBER('OneStream Pulls'!P174),'OneStream Pulls'!P174,0)</f>
        <v>331210</v>
      </c>
      <c r="F174" t="str">
        <f>INDEX('User Inputs'!$I$3:$I$14,MATCH('OneStream Pulls'!G174,'User Inputs'!$G$3:$G$14,0))</f>
        <v>May</v>
      </c>
      <c r="G174" t="str">
        <f>LEFT('OneStream Pulls'!G174,4)</f>
        <v>2026</v>
      </c>
      <c r="H174">
        <f>'OneStream Pulls'!U174</f>
        <v>0</v>
      </c>
    </row>
    <row r="175" spans="1:8">
      <c r="A175" s="12" t="str">
        <f t="shared" si="2"/>
        <v>213-170618300331250</v>
      </c>
      <c r="B175">
        <f>'OneStream Pulls'!C175</f>
        <v>213</v>
      </c>
      <c r="C175">
        <f>'OneStream Pulls'!M175</f>
        <v>170</v>
      </c>
      <c r="D175">
        <f>'OneStream Pulls'!I175</f>
        <v>618300</v>
      </c>
      <c r="E175" s="11">
        <f>IF(ISNUMBER('OneStream Pulls'!P175),'OneStream Pulls'!P175,0)</f>
        <v>331250</v>
      </c>
      <c r="F175" t="str">
        <f>INDEX('User Inputs'!$I$3:$I$14,MATCH('OneStream Pulls'!G175,'User Inputs'!$G$3:$G$14,0))</f>
        <v>May</v>
      </c>
      <c r="G175" t="str">
        <f>LEFT('OneStream Pulls'!G175,4)</f>
        <v>2026</v>
      </c>
      <c r="H175">
        <f>'OneStream Pulls'!U175</f>
        <v>0</v>
      </c>
    </row>
    <row r="176" spans="1:8">
      <c r="A176" s="12" t="str">
        <f t="shared" si="2"/>
        <v>213-170618350331300</v>
      </c>
      <c r="B176">
        <f>'OneStream Pulls'!C176</f>
        <v>213</v>
      </c>
      <c r="C176">
        <f>'OneStream Pulls'!M176</f>
        <v>170</v>
      </c>
      <c r="D176">
        <f>'OneStream Pulls'!I176</f>
        <v>618350</v>
      </c>
      <c r="E176" s="11">
        <f>IF(ISNUMBER('OneStream Pulls'!P176),'OneStream Pulls'!P176,0)</f>
        <v>331300</v>
      </c>
      <c r="F176" t="str">
        <f>INDEX('User Inputs'!$I$3:$I$14,MATCH('OneStream Pulls'!G176,'User Inputs'!$G$3:$G$14,0))</f>
        <v>May</v>
      </c>
      <c r="G176" t="str">
        <f>LEFT('OneStream Pulls'!G176,4)</f>
        <v>2026</v>
      </c>
      <c r="H176">
        <f>'OneStream Pulls'!U176</f>
        <v>0</v>
      </c>
    </row>
    <row r="177" spans="1:8">
      <c r="A177" s="12" t="str">
        <f t="shared" si="2"/>
        <v>213-1706260880</v>
      </c>
      <c r="B177">
        <f>'OneStream Pulls'!C177</f>
        <v>213</v>
      </c>
      <c r="C177">
        <f>'OneStream Pulls'!M177</f>
        <v>170</v>
      </c>
      <c r="D177">
        <f>'OneStream Pulls'!I177</f>
        <v>626088</v>
      </c>
      <c r="E177" s="11">
        <f>IF(ISNUMBER('OneStream Pulls'!P177),'OneStream Pulls'!P177,0)</f>
        <v>0</v>
      </c>
      <c r="F177" t="str">
        <f>INDEX('User Inputs'!$I$3:$I$14,MATCH('OneStream Pulls'!G177,'User Inputs'!$G$3:$G$14,0))</f>
        <v>May</v>
      </c>
      <c r="G177" t="str">
        <f>LEFT('OneStream Pulls'!G177,4)</f>
        <v>2026</v>
      </c>
      <c r="H177">
        <f>'OneStream Pulls'!U177</f>
        <v>0</v>
      </c>
    </row>
    <row r="178" spans="1:8">
      <c r="A178" s="12" t="str">
        <f t="shared" si="2"/>
        <v>213-170629999331100</v>
      </c>
      <c r="B178">
        <f>'OneStream Pulls'!C178</f>
        <v>213</v>
      </c>
      <c r="C178">
        <f>'OneStream Pulls'!M178</f>
        <v>170</v>
      </c>
      <c r="D178">
        <f>'OneStream Pulls'!I178</f>
        <v>629999</v>
      </c>
      <c r="E178" s="11">
        <f>IF(ISNUMBER('OneStream Pulls'!P178),'OneStream Pulls'!P178,0)</f>
        <v>331100</v>
      </c>
      <c r="F178" t="str">
        <f>INDEX('User Inputs'!$I$3:$I$14,MATCH('OneStream Pulls'!G178,'User Inputs'!$G$3:$G$14,0))</f>
        <v>May</v>
      </c>
      <c r="G178" t="str">
        <f>LEFT('OneStream Pulls'!G178,4)</f>
        <v>2026</v>
      </c>
      <c r="H178">
        <f>'OneStream Pulls'!U178</f>
        <v>0</v>
      </c>
    </row>
    <row r="179" spans="1:8">
      <c r="A179" s="12" t="str">
        <f t="shared" si="2"/>
        <v>111-172611000330130</v>
      </c>
      <c r="B179">
        <f>'OneStream Pulls'!C179</f>
        <v>111</v>
      </c>
      <c r="C179">
        <f>'OneStream Pulls'!M179</f>
        <v>172</v>
      </c>
      <c r="D179">
        <f>'OneStream Pulls'!I179</f>
        <v>611000</v>
      </c>
      <c r="E179" s="11">
        <f>IF(ISNUMBER('OneStream Pulls'!P179),'OneStream Pulls'!P179,0)</f>
        <v>330130</v>
      </c>
      <c r="F179" t="str">
        <f>INDEX('User Inputs'!$I$3:$I$14,MATCH('OneStream Pulls'!G179,'User Inputs'!$G$3:$G$14,0))</f>
        <v>May</v>
      </c>
      <c r="G179" t="str">
        <f>LEFT('OneStream Pulls'!G179,4)</f>
        <v>2026</v>
      </c>
      <c r="H179">
        <f>'OneStream Pulls'!U179</f>
        <v>0</v>
      </c>
    </row>
    <row r="180" spans="1:8">
      <c r="A180" s="12" t="str">
        <f t="shared" si="2"/>
        <v>111-172611000330160</v>
      </c>
      <c r="B180">
        <f>'OneStream Pulls'!C180</f>
        <v>111</v>
      </c>
      <c r="C180">
        <f>'OneStream Pulls'!M180</f>
        <v>172</v>
      </c>
      <c r="D180">
        <f>'OneStream Pulls'!I180</f>
        <v>611000</v>
      </c>
      <c r="E180" s="11">
        <f>IF(ISNUMBER('OneStream Pulls'!P180),'OneStream Pulls'!P180,0)</f>
        <v>330160</v>
      </c>
      <c r="F180" t="str">
        <f>INDEX('User Inputs'!$I$3:$I$14,MATCH('OneStream Pulls'!G180,'User Inputs'!$G$3:$G$14,0))</f>
        <v>May</v>
      </c>
      <c r="G180" t="str">
        <f>LEFT('OneStream Pulls'!G180,4)</f>
        <v>2026</v>
      </c>
      <c r="H180">
        <f>'OneStream Pulls'!U180</f>
        <v>0</v>
      </c>
    </row>
    <row r="181" spans="1:8">
      <c r="A181" s="12" t="str">
        <f t="shared" si="2"/>
        <v>111-172611000330170</v>
      </c>
      <c r="B181">
        <f>'OneStream Pulls'!C181</f>
        <v>111</v>
      </c>
      <c r="C181">
        <f>'OneStream Pulls'!M181</f>
        <v>172</v>
      </c>
      <c r="D181">
        <f>'OneStream Pulls'!I181</f>
        <v>611000</v>
      </c>
      <c r="E181" s="11">
        <f>IF(ISNUMBER('OneStream Pulls'!P181),'OneStream Pulls'!P181,0)</f>
        <v>330170</v>
      </c>
      <c r="F181" t="str">
        <f>INDEX('User Inputs'!$I$3:$I$14,MATCH('OneStream Pulls'!G181,'User Inputs'!$G$3:$G$14,0))</f>
        <v>May</v>
      </c>
      <c r="G181" t="str">
        <f>LEFT('OneStream Pulls'!G181,4)</f>
        <v>2026</v>
      </c>
      <c r="H181">
        <f>'OneStream Pulls'!U181</f>
        <v>0</v>
      </c>
    </row>
    <row r="182" spans="1:8">
      <c r="A182" s="12" t="str">
        <f t="shared" si="2"/>
        <v>111-172611000330120</v>
      </c>
      <c r="B182">
        <f>'OneStream Pulls'!C182</f>
        <v>111</v>
      </c>
      <c r="C182">
        <f>'OneStream Pulls'!M182</f>
        <v>172</v>
      </c>
      <c r="D182">
        <f>'OneStream Pulls'!I182</f>
        <v>611000</v>
      </c>
      <c r="E182" s="11">
        <f>IF(ISNUMBER('OneStream Pulls'!P182),'OneStream Pulls'!P182,0)</f>
        <v>330120</v>
      </c>
      <c r="F182" t="str">
        <f>INDEX('User Inputs'!$I$3:$I$14,MATCH('OneStream Pulls'!G182,'User Inputs'!$G$3:$G$14,0))</f>
        <v>May</v>
      </c>
      <c r="G182" t="str">
        <f>LEFT('OneStream Pulls'!G182,4)</f>
        <v>2026</v>
      </c>
      <c r="H182">
        <f>'OneStream Pulls'!U182</f>
        <v>0</v>
      </c>
    </row>
    <row r="183" spans="1:8">
      <c r="A183" s="12" t="str">
        <f t="shared" si="2"/>
        <v>111-172611000330100</v>
      </c>
      <c r="B183">
        <f>'OneStream Pulls'!C183</f>
        <v>111</v>
      </c>
      <c r="C183">
        <f>'OneStream Pulls'!M183</f>
        <v>172</v>
      </c>
      <c r="D183">
        <f>'OneStream Pulls'!I183</f>
        <v>611000</v>
      </c>
      <c r="E183" s="11">
        <f>IF(ISNUMBER('OneStream Pulls'!P183),'OneStream Pulls'!P183,0)</f>
        <v>330100</v>
      </c>
      <c r="F183" t="str">
        <f>INDEX('User Inputs'!$I$3:$I$14,MATCH('OneStream Pulls'!G183,'User Inputs'!$G$3:$G$14,0))</f>
        <v>May</v>
      </c>
      <c r="G183" t="str">
        <f>LEFT('OneStream Pulls'!G183,4)</f>
        <v>2026</v>
      </c>
      <c r="H183">
        <f>'OneStream Pulls'!U183</f>
        <v>0</v>
      </c>
    </row>
    <row r="184" spans="1:8">
      <c r="A184" s="12" t="str">
        <f t="shared" si="2"/>
        <v>111-172611000330150</v>
      </c>
      <c r="B184">
        <f>'OneStream Pulls'!C184</f>
        <v>111</v>
      </c>
      <c r="C184">
        <f>'OneStream Pulls'!M184</f>
        <v>172</v>
      </c>
      <c r="D184">
        <f>'OneStream Pulls'!I184</f>
        <v>611000</v>
      </c>
      <c r="E184" s="11">
        <f>IF(ISNUMBER('OneStream Pulls'!P184),'OneStream Pulls'!P184,0)</f>
        <v>330150</v>
      </c>
      <c r="F184" t="str">
        <f>INDEX('User Inputs'!$I$3:$I$14,MATCH('OneStream Pulls'!G184,'User Inputs'!$G$3:$G$14,0))</f>
        <v>May</v>
      </c>
      <c r="G184" t="str">
        <f>LEFT('OneStream Pulls'!G184,4)</f>
        <v>2026</v>
      </c>
      <c r="H184">
        <f>'OneStream Pulls'!U184</f>
        <v>0</v>
      </c>
    </row>
    <row r="185" spans="1:8">
      <c r="A185" s="12" t="str">
        <f t="shared" si="2"/>
        <v>111-172611000330110</v>
      </c>
      <c r="B185">
        <f>'OneStream Pulls'!C185</f>
        <v>111</v>
      </c>
      <c r="C185">
        <f>'OneStream Pulls'!M185</f>
        <v>172</v>
      </c>
      <c r="D185">
        <f>'OneStream Pulls'!I185</f>
        <v>611000</v>
      </c>
      <c r="E185" s="11">
        <f>IF(ISNUMBER('OneStream Pulls'!P185),'OneStream Pulls'!P185,0)</f>
        <v>330110</v>
      </c>
      <c r="F185" t="str">
        <f>INDEX('User Inputs'!$I$3:$I$14,MATCH('OneStream Pulls'!G185,'User Inputs'!$G$3:$G$14,0))</f>
        <v>May</v>
      </c>
      <c r="G185" t="str">
        <f>LEFT('OneStream Pulls'!G185,4)</f>
        <v>2026</v>
      </c>
      <c r="H185">
        <f>'OneStream Pulls'!U185</f>
        <v>0</v>
      </c>
    </row>
    <row r="186" spans="1:8">
      <c r="A186" s="12" t="str">
        <f t="shared" si="2"/>
        <v>111-172611000330180</v>
      </c>
      <c r="B186">
        <f>'OneStream Pulls'!C186</f>
        <v>111</v>
      </c>
      <c r="C186">
        <f>'OneStream Pulls'!M186</f>
        <v>172</v>
      </c>
      <c r="D186">
        <f>'OneStream Pulls'!I186</f>
        <v>611000</v>
      </c>
      <c r="E186" s="11">
        <f>IF(ISNUMBER('OneStream Pulls'!P186),'OneStream Pulls'!P186,0)</f>
        <v>330180</v>
      </c>
      <c r="F186" t="str">
        <f>INDEX('User Inputs'!$I$3:$I$14,MATCH('OneStream Pulls'!G186,'User Inputs'!$G$3:$G$14,0))</f>
        <v>May</v>
      </c>
      <c r="G186" t="str">
        <f>LEFT('OneStream Pulls'!G186,4)</f>
        <v>2026</v>
      </c>
      <c r="H186">
        <f>'OneStream Pulls'!U186</f>
        <v>0</v>
      </c>
    </row>
    <row r="187" spans="1:8">
      <c r="A187" s="12" t="str">
        <f t="shared" si="2"/>
        <v>111-172611000331200</v>
      </c>
      <c r="B187">
        <f>'OneStream Pulls'!C187</f>
        <v>111</v>
      </c>
      <c r="C187">
        <f>'OneStream Pulls'!M187</f>
        <v>172</v>
      </c>
      <c r="D187">
        <f>'OneStream Pulls'!I187</f>
        <v>611000</v>
      </c>
      <c r="E187" s="11">
        <f>IF(ISNUMBER('OneStream Pulls'!P187),'OneStream Pulls'!P187,0)</f>
        <v>331200</v>
      </c>
      <c r="F187" t="str">
        <f>INDEX('User Inputs'!$I$3:$I$14,MATCH('OneStream Pulls'!G187,'User Inputs'!$G$3:$G$14,0))</f>
        <v>May</v>
      </c>
      <c r="G187" t="str">
        <f>LEFT('OneStream Pulls'!G187,4)</f>
        <v>2026</v>
      </c>
      <c r="H187">
        <f>'OneStream Pulls'!U187</f>
        <v>0</v>
      </c>
    </row>
    <row r="188" spans="1:8">
      <c r="A188" s="12" t="str">
        <f t="shared" si="2"/>
        <v>111-172611010330210</v>
      </c>
      <c r="B188">
        <f>'OneStream Pulls'!C188</f>
        <v>111</v>
      </c>
      <c r="C188">
        <f>'OneStream Pulls'!M188</f>
        <v>172</v>
      </c>
      <c r="D188">
        <f>'OneStream Pulls'!I188</f>
        <v>611010</v>
      </c>
      <c r="E188" s="11">
        <f>IF(ISNUMBER('OneStream Pulls'!P188),'OneStream Pulls'!P188,0)</f>
        <v>330210</v>
      </c>
      <c r="F188" t="str">
        <f>INDEX('User Inputs'!$I$3:$I$14,MATCH('OneStream Pulls'!G188,'User Inputs'!$G$3:$G$14,0))</f>
        <v>May</v>
      </c>
      <c r="G188" t="str">
        <f>LEFT('OneStream Pulls'!G188,4)</f>
        <v>2026</v>
      </c>
      <c r="H188">
        <f>'OneStream Pulls'!U188</f>
        <v>0</v>
      </c>
    </row>
    <row r="189" spans="1:8">
      <c r="A189" s="12" t="str">
        <f t="shared" si="2"/>
        <v>111-172611010330200</v>
      </c>
      <c r="B189">
        <f>'OneStream Pulls'!C189</f>
        <v>111</v>
      </c>
      <c r="C189">
        <f>'OneStream Pulls'!M189</f>
        <v>172</v>
      </c>
      <c r="D189">
        <f>'OneStream Pulls'!I189</f>
        <v>611010</v>
      </c>
      <c r="E189" s="11">
        <f>IF(ISNUMBER('OneStream Pulls'!P189),'OneStream Pulls'!P189,0)</f>
        <v>330200</v>
      </c>
      <c r="F189" t="str">
        <f>INDEX('User Inputs'!$I$3:$I$14,MATCH('OneStream Pulls'!G189,'User Inputs'!$G$3:$G$14,0))</f>
        <v>May</v>
      </c>
      <c r="G189" t="str">
        <f>LEFT('OneStream Pulls'!G189,4)</f>
        <v>2026</v>
      </c>
      <c r="H189">
        <f>'OneStream Pulls'!U189</f>
        <v>0</v>
      </c>
    </row>
    <row r="190" spans="1:8">
      <c r="A190" s="12" t="str">
        <f t="shared" si="2"/>
        <v>111-172611010330220</v>
      </c>
      <c r="B190">
        <f>'OneStream Pulls'!C190</f>
        <v>111</v>
      </c>
      <c r="C190">
        <f>'OneStream Pulls'!M190</f>
        <v>172</v>
      </c>
      <c r="D190">
        <f>'OneStream Pulls'!I190</f>
        <v>611010</v>
      </c>
      <c r="E190" s="11">
        <f>IF(ISNUMBER('OneStream Pulls'!P190),'OneStream Pulls'!P190,0)</f>
        <v>330220</v>
      </c>
      <c r="F190" t="str">
        <f>INDEX('User Inputs'!$I$3:$I$14,MATCH('OneStream Pulls'!G190,'User Inputs'!$G$3:$G$14,0))</f>
        <v>May</v>
      </c>
      <c r="G190" t="str">
        <f>LEFT('OneStream Pulls'!G190,4)</f>
        <v>2026</v>
      </c>
      <c r="H190">
        <f>'OneStream Pulls'!U190</f>
        <v>0</v>
      </c>
    </row>
    <row r="191" spans="1:8">
      <c r="A191" s="12" t="str">
        <f t="shared" si="2"/>
        <v>111-172611010330250</v>
      </c>
      <c r="B191">
        <f>'OneStream Pulls'!C191</f>
        <v>111</v>
      </c>
      <c r="C191">
        <f>'OneStream Pulls'!M191</f>
        <v>172</v>
      </c>
      <c r="D191">
        <f>'OneStream Pulls'!I191</f>
        <v>611010</v>
      </c>
      <c r="E191" s="11">
        <f>IF(ISNUMBER('OneStream Pulls'!P191),'OneStream Pulls'!P191,0)</f>
        <v>330250</v>
      </c>
      <c r="F191" t="str">
        <f>INDEX('User Inputs'!$I$3:$I$14,MATCH('OneStream Pulls'!G191,'User Inputs'!$G$3:$G$14,0))</f>
        <v>May</v>
      </c>
      <c r="G191" t="str">
        <f>LEFT('OneStream Pulls'!G191,4)</f>
        <v>2026</v>
      </c>
      <c r="H191">
        <f>'OneStream Pulls'!U191</f>
        <v>0</v>
      </c>
    </row>
    <row r="192" spans="1:8">
      <c r="A192" s="12" t="str">
        <f t="shared" si="2"/>
        <v>111-172611010330230</v>
      </c>
      <c r="B192">
        <f>'OneStream Pulls'!C192</f>
        <v>111</v>
      </c>
      <c r="C192">
        <f>'OneStream Pulls'!M192</f>
        <v>172</v>
      </c>
      <c r="D192">
        <f>'OneStream Pulls'!I192</f>
        <v>611010</v>
      </c>
      <c r="E192" s="11">
        <f>IF(ISNUMBER('OneStream Pulls'!P192),'OneStream Pulls'!P192,0)</f>
        <v>330230</v>
      </c>
      <c r="F192" t="str">
        <f>INDEX('User Inputs'!$I$3:$I$14,MATCH('OneStream Pulls'!G192,'User Inputs'!$G$3:$G$14,0))</f>
        <v>May</v>
      </c>
      <c r="G192" t="str">
        <f>LEFT('OneStream Pulls'!G192,4)</f>
        <v>2026</v>
      </c>
      <c r="H192">
        <f>'OneStream Pulls'!U192</f>
        <v>0</v>
      </c>
    </row>
    <row r="193" spans="1:8">
      <c r="A193" s="12" t="str">
        <f t="shared" si="2"/>
        <v>111-172611010330260</v>
      </c>
      <c r="B193">
        <f>'OneStream Pulls'!C193</f>
        <v>111</v>
      </c>
      <c r="C193">
        <f>'OneStream Pulls'!M193</f>
        <v>172</v>
      </c>
      <c r="D193">
        <f>'OneStream Pulls'!I193</f>
        <v>611010</v>
      </c>
      <c r="E193" s="11">
        <f>IF(ISNUMBER('OneStream Pulls'!P193),'OneStream Pulls'!P193,0)</f>
        <v>330260</v>
      </c>
      <c r="F193" t="str">
        <f>INDEX('User Inputs'!$I$3:$I$14,MATCH('OneStream Pulls'!G193,'User Inputs'!$G$3:$G$14,0))</f>
        <v>May</v>
      </c>
      <c r="G193" t="str">
        <f>LEFT('OneStream Pulls'!G193,4)</f>
        <v>2026</v>
      </c>
      <c r="H193">
        <f>'OneStream Pulls'!U193</f>
        <v>0</v>
      </c>
    </row>
    <row r="194" spans="1:8">
      <c r="A194" s="12" t="str">
        <f t="shared" si="2"/>
        <v>111-172611010330240</v>
      </c>
      <c r="B194">
        <f>'OneStream Pulls'!C194</f>
        <v>111</v>
      </c>
      <c r="C194">
        <f>'OneStream Pulls'!M194</f>
        <v>172</v>
      </c>
      <c r="D194">
        <f>'OneStream Pulls'!I194</f>
        <v>611010</v>
      </c>
      <c r="E194" s="11">
        <f>IF(ISNUMBER('OneStream Pulls'!P194),'OneStream Pulls'!P194,0)</f>
        <v>330240</v>
      </c>
      <c r="F194" t="str">
        <f>INDEX('User Inputs'!$I$3:$I$14,MATCH('OneStream Pulls'!G194,'User Inputs'!$G$3:$G$14,0))</f>
        <v>May</v>
      </c>
      <c r="G194" t="str">
        <f>LEFT('OneStream Pulls'!G194,4)</f>
        <v>2026</v>
      </c>
      <c r="H194">
        <f>'OneStream Pulls'!U194</f>
        <v>0</v>
      </c>
    </row>
    <row r="195" spans="1:8">
      <c r="A195" s="12" t="str">
        <f t="shared" ref="A195:A240" si="3">_xlfn.CONCAT(B195,"-",C195,D195,E195)</f>
        <v>111-172611020330330</v>
      </c>
      <c r="B195">
        <f>'OneStream Pulls'!C195</f>
        <v>111</v>
      </c>
      <c r="C195">
        <f>'OneStream Pulls'!M195</f>
        <v>172</v>
      </c>
      <c r="D195">
        <f>'OneStream Pulls'!I195</f>
        <v>611020</v>
      </c>
      <c r="E195" s="11">
        <f>IF(ISNUMBER('OneStream Pulls'!P195),'OneStream Pulls'!P195,0)</f>
        <v>330330</v>
      </c>
      <c r="F195" t="str">
        <f>INDEX('User Inputs'!$I$3:$I$14,MATCH('OneStream Pulls'!G195,'User Inputs'!$G$3:$G$14,0))</f>
        <v>May</v>
      </c>
      <c r="G195" t="str">
        <f>LEFT('OneStream Pulls'!G195,4)</f>
        <v>2026</v>
      </c>
      <c r="H195">
        <f>'OneStream Pulls'!U195</f>
        <v>0</v>
      </c>
    </row>
    <row r="196" spans="1:8">
      <c r="A196" s="12" t="str">
        <f t="shared" si="3"/>
        <v>111-172611020330300</v>
      </c>
      <c r="B196">
        <f>'OneStream Pulls'!C196</f>
        <v>111</v>
      </c>
      <c r="C196">
        <f>'OneStream Pulls'!M196</f>
        <v>172</v>
      </c>
      <c r="D196">
        <f>'OneStream Pulls'!I196</f>
        <v>611020</v>
      </c>
      <c r="E196" s="11">
        <f>IF(ISNUMBER('OneStream Pulls'!P196),'OneStream Pulls'!P196,0)</f>
        <v>330300</v>
      </c>
      <c r="F196" t="str">
        <f>INDEX('User Inputs'!$I$3:$I$14,MATCH('OneStream Pulls'!G196,'User Inputs'!$G$3:$G$14,0))</f>
        <v>May</v>
      </c>
      <c r="G196" t="str">
        <f>LEFT('OneStream Pulls'!G196,4)</f>
        <v>2026</v>
      </c>
      <c r="H196">
        <f>'OneStream Pulls'!U196</f>
        <v>0</v>
      </c>
    </row>
    <row r="197" spans="1:8">
      <c r="A197" s="12" t="str">
        <f t="shared" si="3"/>
        <v>111-172611020330340</v>
      </c>
      <c r="B197">
        <f>'OneStream Pulls'!C197</f>
        <v>111</v>
      </c>
      <c r="C197">
        <f>'OneStream Pulls'!M197</f>
        <v>172</v>
      </c>
      <c r="D197">
        <f>'OneStream Pulls'!I197</f>
        <v>611020</v>
      </c>
      <c r="E197" s="11">
        <f>IF(ISNUMBER('OneStream Pulls'!P197),'OneStream Pulls'!P197,0)</f>
        <v>330340</v>
      </c>
      <c r="F197" t="str">
        <f>INDEX('User Inputs'!$I$3:$I$14,MATCH('OneStream Pulls'!G197,'User Inputs'!$G$3:$G$14,0))</f>
        <v>May</v>
      </c>
      <c r="G197" t="str">
        <f>LEFT('OneStream Pulls'!G197,4)</f>
        <v>2026</v>
      </c>
      <c r="H197">
        <f>'OneStream Pulls'!U197</f>
        <v>0</v>
      </c>
    </row>
    <row r="198" spans="1:8">
      <c r="A198" s="12" t="str">
        <f t="shared" si="3"/>
        <v>111-172611020330350</v>
      </c>
      <c r="B198">
        <f>'OneStream Pulls'!C198</f>
        <v>111</v>
      </c>
      <c r="C198">
        <f>'OneStream Pulls'!M198</f>
        <v>172</v>
      </c>
      <c r="D198">
        <f>'OneStream Pulls'!I198</f>
        <v>611020</v>
      </c>
      <c r="E198" s="11">
        <f>IF(ISNUMBER('OneStream Pulls'!P198),'OneStream Pulls'!P198,0)</f>
        <v>330350</v>
      </c>
      <c r="F198" t="str">
        <f>INDEX('User Inputs'!$I$3:$I$14,MATCH('OneStream Pulls'!G198,'User Inputs'!$G$3:$G$14,0))</f>
        <v>May</v>
      </c>
      <c r="G198" t="str">
        <f>LEFT('OneStream Pulls'!G198,4)</f>
        <v>2026</v>
      </c>
      <c r="H198">
        <f>'OneStream Pulls'!U198</f>
        <v>0</v>
      </c>
    </row>
    <row r="199" spans="1:8">
      <c r="A199" s="12" t="str">
        <f t="shared" si="3"/>
        <v>111-172611020330320</v>
      </c>
      <c r="B199">
        <f>'OneStream Pulls'!C199</f>
        <v>111</v>
      </c>
      <c r="C199">
        <f>'OneStream Pulls'!M199</f>
        <v>172</v>
      </c>
      <c r="D199">
        <f>'OneStream Pulls'!I199</f>
        <v>611020</v>
      </c>
      <c r="E199" s="11">
        <f>IF(ISNUMBER('OneStream Pulls'!P199),'OneStream Pulls'!P199,0)</f>
        <v>330320</v>
      </c>
      <c r="F199" t="str">
        <f>INDEX('User Inputs'!$I$3:$I$14,MATCH('OneStream Pulls'!G199,'User Inputs'!$G$3:$G$14,0))</f>
        <v>May</v>
      </c>
      <c r="G199" t="str">
        <f>LEFT('OneStream Pulls'!G199,4)</f>
        <v>2026</v>
      </c>
      <c r="H199">
        <f>'OneStream Pulls'!U199</f>
        <v>0</v>
      </c>
    </row>
    <row r="200" spans="1:8">
      <c r="A200" s="12" t="str">
        <f t="shared" si="3"/>
        <v>111-172611020330360</v>
      </c>
      <c r="B200">
        <f>'OneStream Pulls'!C200</f>
        <v>111</v>
      </c>
      <c r="C200">
        <f>'OneStream Pulls'!M200</f>
        <v>172</v>
      </c>
      <c r="D200">
        <f>'OneStream Pulls'!I200</f>
        <v>611020</v>
      </c>
      <c r="E200" s="11">
        <f>IF(ISNUMBER('OneStream Pulls'!P200),'OneStream Pulls'!P200,0)</f>
        <v>330360</v>
      </c>
      <c r="F200" t="str">
        <f>INDEX('User Inputs'!$I$3:$I$14,MATCH('OneStream Pulls'!G200,'User Inputs'!$G$3:$G$14,0))</f>
        <v>May</v>
      </c>
      <c r="G200" t="str">
        <f>LEFT('OneStream Pulls'!G200,4)</f>
        <v>2026</v>
      </c>
      <c r="H200">
        <f>'OneStream Pulls'!U200</f>
        <v>0</v>
      </c>
    </row>
    <row r="201" spans="1:8">
      <c r="A201" s="12" t="str">
        <f t="shared" si="3"/>
        <v>111-172611020330370</v>
      </c>
      <c r="B201">
        <f>'OneStream Pulls'!C201</f>
        <v>111</v>
      </c>
      <c r="C201">
        <f>'OneStream Pulls'!M201</f>
        <v>172</v>
      </c>
      <c r="D201">
        <f>'OneStream Pulls'!I201</f>
        <v>611020</v>
      </c>
      <c r="E201" s="11">
        <f>IF(ISNUMBER('OneStream Pulls'!P201),'OneStream Pulls'!P201,0)</f>
        <v>330370</v>
      </c>
      <c r="F201" t="str">
        <f>INDEX('User Inputs'!$I$3:$I$14,MATCH('OneStream Pulls'!G201,'User Inputs'!$G$3:$G$14,0))</f>
        <v>May</v>
      </c>
      <c r="G201" t="str">
        <f>LEFT('OneStream Pulls'!G201,4)</f>
        <v>2026</v>
      </c>
      <c r="H201">
        <f>'OneStream Pulls'!U201</f>
        <v>0</v>
      </c>
    </row>
    <row r="202" spans="1:8">
      <c r="A202" s="12" t="str">
        <f t="shared" si="3"/>
        <v>111-172611020330310</v>
      </c>
      <c r="B202">
        <f>'OneStream Pulls'!C202</f>
        <v>111</v>
      </c>
      <c r="C202">
        <f>'OneStream Pulls'!M202</f>
        <v>172</v>
      </c>
      <c r="D202">
        <f>'OneStream Pulls'!I202</f>
        <v>611020</v>
      </c>
      <c r="E202" s="11">
        <f>IF(ISNUMBER('OneStream Pulls'!P202),'OneStream Pulls'!P202,0)</f>
        <v>330310</v>
      </c>
      <c r="F202" t="str">
        <f>INDEX('User Inputs'!$I$3:$I$14,MATCH('OneStream Pulls'!G202,'User Inputs'!$G$3:$G$14,0))</f>
        <v>May</v>
      </c>
      <c r="G202" t="str">
        <f>LEFT('OneStream Pulls'!G202,4)</f>
        <v>2026</v>
      </c>
      <c r="H202">
        <f>'OneStream Pulls'!U202</f>
        <v>0</v>
      </c>
    </row>
    <row r="203" spans="1:8">
      <c r="A203" s="12" t="str">
        <f t="shared" si="3"/>
        <v>111-172611020330380</v>
      </c>
      <c r="B203">
        <f>'OneStream Pulls'!C203</f>
        <v>111</v>
      </c>
      <c r="C203">
        <f>'OneStream Pulls'!M203</f>
        <v>172</v>
      </c>
      <c r="D203">
        <f>'OneStream Pulls'!I203</f>
        <v>611020</v>
      </c>
      <c r="E203" s="11">
        <f>IF(ISNUMBER('OneStream Pulls'!P203),'OneStream Pulls'!P203,0)</f>
        <v>330380</v>
      </c>
      <c r="F203" t="str">
        <f>INDEX('User Inputs'!$I$3:$I$14,MATCH('OneStream Pulls'!G203,'User Inputs'!$G$3:$G$14,0))</f>
        <v>May</v>
      </c>
      <c r="G203" t="str">
        <f>LEFT('OneStream Pulls'!G203,4)</f>
        <v>2026</v>
      </c>
      <c r="H203">
        <f>'OneStream Pulls'!U203</f>
        <v>0</v>
      </c>
    </row>
    <row r="204" spans="1:8">
      <c r="A204" s="12" t="str">
        <f t="shared" si="3"/>
        <v>111-172611030330420</v>
      </c>
      <c r="B204">
        <f>'OneStream Pulls'!C204</f>
        <v>111</v>
      </c>
      <c r="C204">
        <f>'OneStream Pulls'!M204</f>
        <v>172</v>
      </c>
      <c r="D204">
        <f>'OneStream Pulls'!I204</f>
        <v>611030</v>
      </c>
      <c r="E204" s="11">
        <f>IF(ISNUMBER('OneStream Pulls'!P204),'OneStream Pulls'!P204,0)</f>
        <v>330420</v>
      </c>
      <c r="F204" t="str">
        <f>INDEX('User Inputs'!$I$3:$I$14,MATCH('OneStream Pulls'!G204,'User Inputs'!$G$3:$G$14,0))</f>
        <v>May</v>
      </c>
      <c r="G204" t="str">
        <f>LEFT('OneStream Pulls'!G204,4)</f>
        <v>2026</v>
      </c>
      <c r="H204">
        <f>'OneStream Pulls'!U204</f>
        <v>0</v>
      </c>
    </row>
    <row r="205" spans="1:8">
      <c r="A205" s="12" t="str">
        <f t="shared" si="3"/>
        <v>111-172611030330430</v>
      </c>
      <c r="B205">
        <f>'OneStream Pulls'!C205</f>
        <v>111</v>
      </c>
      <c r="C205">
        <f>'OneStream Pulls'!M205</f>
        <v>172</v>
      </c>
      <c r="D205">
        <f>'OneStream Pulls'!I205</f>
        <v>611030</v>
      </c>
      <c r="E205" s="11">
        <f>IF(ISNUMBER('OneStream Pulls'!P205),'OneStream Pulls'!P205,0)</f>
        <v>330430</v>
      </c>
      <c r="F205" t="str">
        <f>INDEX('User Inputs'!$I$3:$I$14,MATCH('OneStream Pulls'!G205,'User Inputs'!$G$3:$G$14,0))</f>
        <v>May</v>
      </c>
      <c r="G205" t="str">
        <f>LEFT('OneStream Pulls'!G205,4)</f>
        <v>2026</v>
      </c>
      <c r="H205">
        <f>'OneStream Pulls'!U205</f>
        <v>0</v>
      </c>
    </row>
    <row r="206" spans="1:8">
      <c r="A206" s="12" t="str">
        <f t="shared" si="3"/>
        <v>111-172611030330435</v>
      </c>
      <c r="B206">
        <f>'OneStream Pulls'!C206</f>
        <v>111</v>
      </c>
      <c r="C206">
        <f>'OneStream Pulls'!M206</f>
        <v>172</v>
      </c>
      <c r="D206">
        <f>'OneStream Pulls'!I206</f>
        <v>611030</v>
      </c>
      <c r="E206" s="11">
        <f>IF(ISNUMBER('OneStream Pulls'!P206),'OneStream Pulls'!P206,0)</f>
        <v>330435</v>
      </c>
      <c r="F206" t="str">
        <f>INDEX('User Inputs'!$I$3:$I$14,MATCH('OneStream Pulls'!G206,'User Inputs'!$G$3:$G$14,0))</f>
        <v>May</v>
      </c>
      <c r="G206" t="str">
        <f>LEFT('OneStream Pulls'!G206,4)</f>
        <v>2026</v>
      </c>
      <c r="H206">
        <f>'OneStream Pulls'!U206</f>
        <v>0</v>
      </c>
    </row>
    <row r="207" spans="1:8">
      <c r="A207" s="12" t="str">
        <f t="shared" si="3"/>
        <v>111-172611030330440</v>
      </c>
      <c r="B207">
        <f>'OneStream Pulls'!C207</f>
        <v>111</v>
      </c>
      <c r="C207">
        <f>'OneStream Pulls'!M207</f>
        <v>172</v>
      </c>
      <c r="D207">
        <f>'OneStream Pulls'!I207</f>
        <v>611030</v>
      </c>
      <c r="E207" s="11">
        <f>IF(ISNUMBER('OneStream Pulls'!P207),'OneStream Pulls'!P207,0)</f>
        <v>330440</v>
      </c>
      <c r="F207" t="str">
        <f>INDEX('User Inputs'!$I$3:$I$14,MATCH('OneStream Pulls'!G207,'User Inputs'!$G$3:$G$14,0))</f>
        <v>May</v>
      </c>
      <c r="G207" t="str">
        <f>LEFT('OneStream Pulls'!G207,4)</f>
        <v>2026</v>
      </c>
      <c r="H207">
        <f>'OneStream Pulls'!U207</f>
        <v>0</v>
      </c>
    </row>
    <row r="208" spans="1:8">
      <c r="A208" s="12" t="str">
        <f t="shared" si="3"/>
        <v>111-172611030330445</v>
      </c>
      <c r="B208">
        <f>'OneStream Pulls'!C208</f>
        <v>111</v>
      </c>
      <c r="C208">
        <f>'OneStream Pulls'!M208</f>
        <v>172</v>
      </c>
      <c r="D208">
        <f>'OneStream Pulls'!I208</f>
        <v>611030</v>
      </c>
      <c r="E208" s="11">
        <f>IF(ISNUMBER('OneStream Pulls'!P208),'OneStream Pulls'!P208,0)</f>
        <v>330445</v>
      </c>
      <c r="F208" t="str">
        <f>INDEX('User Inputs'!$I$3:$I$14,MATCH('OneStream Pulls'!G208,'User Inputs'!$G$3:$G$14,0))</f>
        <v>May</v>
      </c>
      <c r="G208" t="str">
        <f>LEFT('OneStream Pulls'!G208,4)</f>
        <v>2026</v>
      </c>
      <c r="H208">
        <f>'OneStream Pulls'!U208</f>
        <v>0</v>
      </c>
    </row>
    <row r="209" spans="1:8">
      <c r="A209" s="12" t="str">
        <f t="shared" si="3"/>
        <v>111-172611030330410</v>
      </c>
      <c r="B209">
        <f>'OneStream Pulls'!C209</f>
        <v>111</v>
      </c>
      <c r="C209">
        <f>'OneStream Pulls'!M209</f>
        <v>172</v>
      </c>
      <c r="D209">
        <f>'OneStream Pulls'!I209</f>
        <v>611030</v>
      </c>
      <c r="E209" s="11">
        <f>IF(ISNUMBER('OneStream Pulls'!P209),'OneStream Pulls'!P209,0)</f>
        <v>330410</v>
      </c>
      <c r="F209" t="str">
        <f>INDEX('User Inputs'!$I$3:$I$14,MATCH('OneStream Pulls'!G209,'User Inputs'!$G$3:$G$14,0))</f>
        <v>May</v>
      </c>
      <c r="G209" t="str">
        <f>LEFT('OneStream Pulls'!G209,4)</f>
        <v>2026</v>
      </c>
      <c r="H209">
        <f>'OneStream Pulls'!U209</f>
        <v>0</v>
      </c>
    </row>
    <row r="210" spans="1:8">
      <c r="A210" s="12" t="str">
        <f t="shared" si="3"/>
        <v>111-172611040330450</v>
      </c>
      <c r="B210">
        <f>'OneStream Pulls'!C210</f>
        <v>111</v>
      </c>
      <c r="C210">
        <f>'OneStream Pulls'!M210</f>
        <v>172</v>
      </c>
      <c r="D210">
        <f>'OneStream Pulls'!I210</f>
        <v>611040</v>
      </c>
      <c r="E210" s="11">
        <f>IF(ISNUMBER('OneStream Pulls'!P210),'OneStream Pulls'!P210,0)</f>
        <v>330450</v>
      </c>
      <c r="F210" t="str">
        <f>INDEX('User Inputs'!$I$3:$I$14,MATCH('OneStream Pulls'!G210,'User Inputs'!$G$3:$G$14,0))</f>
        <v>May</v>
      </c>
      <c r="G210" t="str">
        <f>LEFT('OneStream Pulls'!G210,4)</f>
        <v>2026</v>
      </c>
      <c r="H210">
        <f>'OneStream Pulls'!U210</f>
        <v>0</v>
      </c>
    </row>
    <row r="211" spans="1:8">
      <c r="A211" s="12" t="str">
        <f t="shared" si="3"/>
        <v>111-172611588330915</v>
      </c>
      <c r="B211">
        <f>'OneStream Pulls'!C211</f>
        <v>111</v>
      </c>
      <c r="C211">
        <f>'OneStream Pulls'!M211</f>
        <v>172</v>
      </c>
      <c r="D211">
        <f>'OneStream Pulls'!I211</f>
        <v>611588</v>
      </c>
      <c r="E211" s="11">
        <f>IF(ISNUMBER('OneStream Pulls'!P211),'OneStream Pulls'!P211,0)</f>
        <v>330915</v>
      </c>
      <c r="F211" t="str">
        <f>INDEX('User Inputs'!$I$3:$I$14,MATCH('OneStream Pulls'!G211,'User Inputs'!$G$3:$G$14,0))</f>
        <v>May</v>
      </c>
      <c r="G211" t="str">
        <f>LEFT('OneStream Pulls'!G211,4)</f>
        <v>2026</v>
      </c>
      <c r="H211">
        <f>'OneStream Pulls'!U211</f>
        <v>0</v>
      </c>
    </row>
    <row r="212" spans="1:8">
      <c r="A212" s="12" t="str">
        <f t="shared" si="3"/>
        <v>111-172614100330500</v>
      </c>
      <c r="B212">
        <f>'OneStream Pulls'!C212</f>
        <v>111</v>
      </c>
      <c r="C212">
        <f>'OneStream Pulls'!M212</f>
        <v>172</v>
      </c>
      <c r="D212">
        <f>'OneStream Pulls'!I212</f>
        <v>614100</v>
      </c>
      <c r="E212" s="11">
        <f>IF(ISNUMBER('OneStream Pulls'!P212),'OneStream Pulls'!P212,0)</f>
        <v>330500</v>
      </c>
      <c r="F212" t="str">
        <f>INDEX('User Inputs'!$I$3:$I$14,MATCH('OneStream Pulls'!G212,'User Inputs'!$G$3:$G$14,0))</f>
        <v>May</v>
      </c>
      <c r="G212" t="str">
        <f>LEFT('OneStream Pulls'!G212,4)</f>
        <v>2026</v>
      </c>
      <c r="H212">
        <f>'OneStream Pulls'!U212</f>
        <v>0</v>
      </c>
    </row>
    <row r="213" spans="1:8">
      <c r="A213" s="12" t="str">
        <f t="shared" si="3"/>
        <v>111-172614200330610</v>
      </c>
      <c r="B213">
        <f>'OneStream Pulls'!C213</f>
        <v>111</v>
      </c>
      <c r="C213">
        <f>'OneStream Pulls'!M213</f>
        <v>172</v>
      </c>
      <c r="D213">
        <f>'OneStream Pulls'!I213</f>
        <v>614200</v>
      </c>
      <c r="E213" s="11">
        <f>IF(ISNUMBER('OneStream Pulls'!P213),'OneStream Pulls'!P213,0)</f>
        <v>330610</v>
      </c>
      <c r="F213" t="str">
        <f>INDEX('User Inputs'!$I$3:$I$14,MATCH('OneStream Pulls'!G213,'User Inputs'!$G$3:$G$14,0))</f>
        <v>May</v>
      </c>
      <c r="G213" t="str">
        <f>LEFT('OneStream Pulls'!G213,4)</f>
        <v>2026</v>
      </c>
      <c r="H213">
        <f>'OneStream Pulls'!U213</f>
        <v>0</v>
      </c>
    </row>
    <row r="214" spans="1:8">
      <c r="A214" s="12" t="str">
        <f t="shared" si="3"/>
        <v>111-172614200330600</v>
      </c>
      <c r="B214">
        <f>'OneStream Pulls'!C214</f>
        <v>111</v>
      </c>
      <c r="C214">
        <f>'OneStream Pulls'!M214</f>
        <v>172</v>
      </c>
      <c r="D214">
        <f>'OneStream Pulls'!I214</f>
        <v>614200</v>
      </c>
      <c r="E214" s="11">
        <f>IF(ISNUMBER('OneStream Pulls'!P214),'OneStream Pulls'!P214,0)</f>
        <v>330600</v>
      </c>
      <c r="F214" t="str">
        <f>INDEX('User Inputs'!$I$3:$I$14,MATCH('OneStream Pulls'!G214,'User Inputs'!$G$3:$G$14,0))</f>
        <v>May</v>
      </c>
      <c r="G214" t="str">
        <f>LEFT('OneStream Pulls'!G214,4)</f>
        <v>2026</v>
      </c>
      <c r="H214">
        <f>'OneStream Pulls'!U214</f>
        <v>0</v>
      </c>
    </row>
    <row r="215" spans="1:8">
      <c r="A215" s="12" t="str">
        <f t="shared" si="3"/>
        <v>111-172614200330620</v>
      </c>
      <c r="B215">
        <f>'OneStream Pulls'!C215</f>
        <v>111</v>
      </c>
      <c r="C215">
        <f>'OneStream Pulls'!M215</f>
        <v>172</v>
      </c>
      <c r="D215">
        <f>'OneStream Pulls'!I215</f>
        <v>614200</v>
      </c>
      <c r="E215" s="11">
        <f>IF(ISNUMBER('OneStream Pulls'!P215),'OneStream Pulls'!P215,0)</f>
        <v>330620</v>
      </c>
      <c r="F215" t="str">
        <f>INDEX('User Inputs'!$I$3:$I$14,MATCH('OneStream Pulls'!G215,'User Inputs'!$G$3:$G$14,0))</f>
        <v>May</v>
      </c>
      <c r="G215" t="str">
        <f>LEFT('OneStream Pulls'!G215,4)</f>
        <v>2026</v>
      </c>
      <c r="H215">
        <f>'OneStream Pulls'!U215</f>
        <v>0</v>
      </c>
    </row>
    <row r="216" spans="1:8">
      <c r="A216" s="12" t="str">
        <f t="shared" si="3"/>
        <v>111-172614200330630</v>
      </c>
      <c r="B216">
        <f>'OneStream Pulls'!C216</f>
        <v>111</v>
      </c>
      <c r="C216">
        <f>'OneStream Pulls'!M216</f>
        <v>172</v>
      </c>
      <c r="D216">
        <f>'OneStream Pulls'!I216</f>
        <v>614200</v>
      </c>
      <c r="E216" s="11">
        <f>IF(ISNUMBER('OneStream Pulls'!P216),'OneStream Pulls'!P216,0)</f>
        <v>330630</v>
      </c>
      <c r="F216" t="str">
        <f>INDEX('User Inputs'!$I$3:$I$14,MATCH('OneStream Pulls'!G216,'User Inputs'!$G$3:$G$14,0))</f>
        <v>May</v>
      </c>
      <c r="G216" t="str">
        <f>LEFT('OneStream Pulls'!G216,4)</f>
        <v>2026</v>
      </c>
      <c r="H216">
        <f>'OneStream Pulls'!U216</f>
        <v>0</v>
      </c>
    </row>
    <row r="217" spans="1:8">
      <c r="A217" s="12" t="str">
        <f t="shared" si="3"/>
        <v>111-172616000330710</v>
      </c>
      <c r="B217">
        <f>'OneStream Pulls'!C217</f>
        <v>111</v>
      </c>
      <c r="C217">
        <f>'OneStream Pulls'!M217</f>
        <v>172</v>
      </c>
      <c r="D217">
        <f>'OneStream Pulls'!I217</f>
        <v>616000</v>
      </c>
      <c r="E217" s="11">
        <f>IF(ISNUMBER('OneStream Pulls'!P217),'OneStream Pulls'!P217,0)</f>
        <v>330710</v>
      </c>
      <c r="F217" t="str">
        <f>INDEX('User Inputs'!$I$3:$I$14,MATCH('OneStream Pulls'!G217,'User Inputs'!$G$3:$G$14,0))</f>
        <v>May</v>
      </c>
      <c r="G217" t="str">
        <f>LEFT('OneStream Pulls'!G217,4)</f>
        <v>2026</v>
      </c>
      <c r="H217">
        <f>'OneStream Pulls'!U217</f>
        <v>0</v>
      </c>
    </row>
    <row r="218" spans="1:8">
      <c r="A218" s="12" t="str">
        <f t="shared" si="3"/>
        <v>111-172616000330700</v>
      </c>
      <c r="B218">
        <f>'OneStream Pulls'!C218</f>
        <v>111</v>
      </c>
      <c r="C218">
        <f>'OneStream Pulls'!M218</f>
        <v>172</v>
      </c>
      <c r="D218">
        <f>'OneStream Pulls'!I218</f>
        <v>616000</v>
      </c>
      <c r="E218" s="11">
        <f>IF(ISNUMBER('OneStream Pulls'!P218),'OneStream Pulls'!P218,0)</f>
        <v>330700</v>
      </c>
      <c r="F218" t="str">
        <f>INDEX('User Inputs'!$I$3:$I$14,MATCH('OneStream Pulls'!G218,'User Inputs'!$G$3:$G$14,0))</f>
        <v>May</v>
      </c>
      <c r="G218" t="str">
        <f>LEFT('OneStream Pulls'!G218,4)</f>
        <v>2026</v>
      </c>
      <c r="H218">
        <f>'OneStream Pulls'!U218</f>
        <v>0</v>
      </c>
    </row>
    <row r="219" spans="1:8">
      <c r="A219" s="12" t="str">
        <f t="shared" si="3"/>
        <v>111-172618000330800</v>
      </c>
      <c r="B219">
        <f>'OneStream Pulls'!C219</f>
        <v>111</v>
      </c>
      <c r="C219">
        <f>'OneStream Pulls'!M219</f>
        <v>172</v>
      </c>
      <c r="D219">
        <f>'OneStream Pulls'!I219</f>
        <v>618000</v>
      </c>
      <c r="E219" s="11">
        <f>IF(ISNUMBER('OneStream Pulls'!P219),'OneStream Pulls'!P219,0)</f>
        <v>330800</v>
      </c>
      <c r="F219" t="str">
        <f>INDEX('User Inputs'!$I$3:$I$14,MATCH('OneStream Pulls'!G219,'User Inputs'!$G$3:$G$14,0))</f>
        <v>May</v>
      </c>
      <c r="G219" t="str">
        <f>LEFT('OneStream Pulls'!G219,4)</f>
        <v>2026</v>
      </c>
      <c r="H219">
        <f>'OneStream Pulls'!U219</f>
        <v>0</v>
      </c>
    </row>
    <row r="220" spans="1:8">
      <c r="A220" s="12" t="str">
        <f t="shared" si="3"/>
        <v>111-172618050330900</v>
      </c>
      <c r="B220">
        <f>'OneStream Pulls'!C220</f>
        <v>111</v>
      </c>
      <c r="C220">
        <f>'OneStream Pulls'!M220</f>
        <v>172</v>
      </c>
      <c r="D220">
        <f>'OneStream Pulls'!I220</f>
        <v>618050</v>
      </c>
      <c r="E220" s="11">
        <f>IF(ISNUMBER('OneStream Pulls'!P220),'OneStream Pulls'!P220,0)</f>
        <v>330900</v>
      </c>
      <c r="F220" t="str">
        <f>INDEX('User Inputs'!$I$3:$I$14,MATCH('OneStream Pulls'!G220,'User Inputs'!$G$3:$G$14,0))</f>
        <v>May</v>
      </c>
      <c r="G220" t="str">
        <f>LEFT('OneStream Pulls'!G220,4)</f>
        <v>2026</v>
      </c>
      <c r="H220">
        <f>'OneStream Pulls'!U220</f>
        <v>0</v>
      </c>
    </row>
    <row r="221" spans="1:8">
      <c r="A221" s="12" t="str">
        <f t="shared" si="3"/>
        <v>111-172618050330910</v>
      </c>
      <c r="B221">
        <f>'OneStream Pulls'!C221</f>
        <v>111</v>
      </c>
      <c r="C221">
        <f>'OneStream Pulls'!M221</f>
        <v>172</v>
      </c>
      <c r="D221">
        <f>'OneStream Pulls'!I221</f>
        <v>618050</v>
      </c>
      <c r="E221" s="11">
        <f>IF(ISNUMBER('OneStream Pulls'!P221),'OneStream Pulls'!P221,0)</f>
        <v>330910</v>
      </c>
      <c r="F221" t="str">
        <f>INDEX('User Inputs'!$I$3:$I$14,MATCH('OneStream Pulls'!G221,'User Inputs'!$G$3:$G$14,0))</f>
        <v>May</v>
      </c>
      <c r="G221" t="str">
        <f>LEFT('OneStream Pulls'!G221,4)</f>
        <v>2026</v>
      </c>
      <c r="H221">
        <f>'OneStream Pulls'!U221</f>
        <v>0</v>
      </c>
    </row>
    <row r="222" spans="1:8">
      <c r="A222" s="12" t="str">
        <f t="shared" si="3"/>
        <v>111-172618200330920</v>
      </c>
      <c r="B222">
        <f>'OneStream Pulls'!C222</f>
        <v>111</v>
      </c>
      <c r="C222">
        <f>'OneStream Pulls'!M222</f>
        <v>172</v>
      </c>
      <c r="D222">
        <f>'OneStream Pulls'!I222</f>
        <v>618200</v>
      </c>
      <c r="E222" s="11">
        <f>IF(ISNUMBER('OneStream Pulls'!P222),'OneStream Pulls'!P222,0)</f>
        <v>330920</v>
      </c>
      <c r="F222" t="str">
        <f>INDEX('User Inputs'!$I$3:$I$14,MATCH('OneStream Pulls'!G222,'User Inputs'!$G$3:$G$14,0))</f>
        <v>May</v>
      </c>
      <c r="G222" t="str">
        <f>LEFT('OneStream Pulls'!G222,4)</f>
        <v>2026</v>
      </c>
      <c r="H222">
        <f>'OneStream Pulls'!U222</f>
        <v>0</v>
      </c>
    </row>
    <row r="223" spans="1:8">
      <c r="A223" s="12" t="str">
        <f t="shared" si="3"/>
        <v>111-172618250331020</v>
      </c>
      <c r="B223">
        <f>'OneStream Pulls'!C223</f>
        <v>111</v>
      </c>
      <c r="C223">
        <f>'OneStream Pulls'!M223</f>
        <v>172</v>
      </c>
      <c r="D223">
        <f>'OneStream Pulls'!I223</f>
        <v>618250</v>
      </c>
      <c r="E223" s="11">
        <f>IF(ISNUMBER('OneStream Pulls'!P223),'OneStream Pulls'!P223,0)</f>
        <v>331020</v>
      </c>
      <c r="F223" t="str">
        <f>INDEX('User Inputs'!$I$3:$I$14,MATCH('OneStream Pulls'!G223,'User Inputs'!$G$3:$G$14,0))</f>
        <v>May</v>
      </c>
      <c r="G223" t="str">
        <f>LEFT('OneStream Pulls'!G223,4)</f>
        <v>2026</v>
      </c>
      <c r="H223">
        <f>'OneStream Pulls'!U223</f>
        <v>0</v>
      </c>
    </row>
    <row r="224" spans="1:8">
      <c r="A224" s="12" t="str">
        <f t="shared" si="3"/>
        <v>111-172618250331000</v>
      </c>
      <c r="B224">
        <f>'OneStream Pulls'!C224</f>
        <v>111</v>
      </c>
      <c r="C224">
        <f>'OneStream Pulls'!M224</f>
        <v>172</v>
      </c>
      <c r="D224">
        <f>'OneStream Pulls'!I224</f>
        <v>618250</v>
      </c>
      <c r="E224" s="11">
        <f>IF(ISNUMBER('OneStream Pulls'!P224),'OneStream Pulls'!P224,0)</f>
        <v>331000</v>
      </c>
      <c r="F224" t="str">
        <f>INDEX('User Inputs'!$I$3:$I$14,MATCH('OneStream Pulls'!G224,'User Inputs'!$G$3:$G$14,0))</f>
        <v>May</v>
      </c>
      <c r="G224" t="str">
        <f>LEFT('OneStream Pulls'!G224,4)</f>
        <v>2026</v>
      </c>
      <c r="H224">
        <f>'OneStream Pulls'!U224</f>
        <v>0</v>
      </c>
    </row>
    <row r="225" spans="1:8">
      <c r="A225" s="12" t="str">
        <f t="shared" si="3"/>
        <v>111-172618250331050</v>
      </c>
      <c r="B225">
        <f>'OneStream Pulls'!C225</f>
        <v>111</v>
      </c>
      <c r="C225">
        <f>'OneStream Pulls'!M225</f>
        <v>172</v>
      </c>
      <c r="D225">
        <f>'OneStream Pulls'!I225</f>
        <v>618250</v>
      </c>
      <c r="E225" s="11">
        <f>IF(ISNUMBER('OneStream Pulls'!P225),'OneStream Pulls'!P225,0)</f>
        <v>331050</v>
      </c>
      <c r="F225" t="str">
        <f>INDEX('User Inputs'!$I$3:$I$14,MATCH('OneStream Pulls'!G225,'User Inputs'!$G$3:$G$14,0))</f>
        <v>May</v>
      </c>
      <c r="G225" t="str">
        <f>LEFT('OneStream Pulls'!G225,4)</f>
        <v>2026</v>
      </c>
      <c r="H225">
        <f>'OneStream Pulls'!U225</f>
        <v>0</v>
      </c>
    </row>
    <row r="226" spans="1:8">
      <c r="A226" s="12" t="str">
        <f t="shared" si="3"/>
        <v>111-172618250331040</v>
      </c>
      <c r="B226">
        <f>'OneStream Pulls'!C226</f>
        <v>111</v>
      </c>
      <c r="C226">
        <f>'OneStream Pulls'!M226</f>
        <v>172</v>
      </c>
      <c r="D226">
        <f>'OneStream Pulls'!I226</f>
        <v>618250</v>
      </c>
      <c r="E226" s="11">
        <f>IF(ISNUMBER('OneStream Pulls'!P226),'OneStream Pulls'!P226,0)</f>
        <v>331040</v>
      </c>
      <c r="F226" t="str">
        <f>INDEX('User Inputs'!$I$3:$I$14,MATCH('OneStream Pulls'!G226,'User Inputs'!$G$3:$G$14,0))</f>
        <v>May</v>
      </c>
      <c r="G226" t="str">
        <f>LEFT('OneStream Pulls'!G226,4)</f>
        <v>2026</v>
      </c>
      <c r="H226">
        <f>'OneStream Pulls'!U226</f>
        <v>0</v>
      </c>
    </row>
    <row r="227" spans="1:8">
      <c r="A227" s="12" t="str">
        <f t="shared" si="3"/>
        <v>111-172618250331030</v>
      </c>
      <c r="B227">
        <f>'OneStream Pulls'!C227</f>
        <v>111</v>
      </c>
      <c r="C227">
        <f>'OneStream Pulls'!M227</f>
        <v>172</v>
      </c>
      <c r="D227">
        <f>'OneStream Pulls'!I227</f>
        <v>618250</v>
      </c>
      <c r="E227" s="11">
        <f>IF(ISNUMBER('OneStream Pulls'!P227),'OneStream Pulls'!P227,0)</f>
        <v>331030</v>
      </c>
      <c r="F227" t="str">
        <f>INDEX('User Inputs'!$I$3:$I$14,MATCH('OneStream Pulls'!G227,'User Inputs'!$G$3:$G$14,0))</f>
        <v>May</v>
      </c>
      <c r="G227" t="str">
        <f>LEFT('OneStream Pulls'!G227,4)</f>
        <v>2026</v>
      </c>
      <c r="H227">
        <f>'OneStream Pulls'!U227</f>
        <v>0</v>
      </c>
    </row>
    <row r="228" spans="1:8">
      <c r="A228" s="12" t="str">
        <f t="shared" si="3"/>
        <v>111-172618250331010</v>
      </c>
      <c r="B228">
        <f>'OneStream Pulls'!C228</f>
        <v>111</v>
      </c>
      <c r="C228">
        <f>'OneStream Pulls'!M228</f>
        <v>172</v>
      </c>
      <c r="D228">
        <f>'OneStream Pulls'!I228</f>
        <v>618250</v>
      </c>
      <c r="E228" s="11">
        <f>IF(ISNUMBER('OneStream Pulls'!P228),'OneStream Pulls'!P228,0)</f>
        <v>331010</v>
      </c>
      <c r="F228" t="str">
        <f>INDEX('User Inputs'!$I$3:$I$14,MATCH('OneStream Pulls'!G228,'User Inputs'!$G$3:$G$14,0))</f>
        <v>May</v>
      </c>
      <c r="G228" t="str">
        <f>LEFT('OneStream Pulls'!G228,4)</f>
        <v>2026</v>
      </c>
      <c r="H228">
        <f>'OneStream Pulls'!U228</f>
        <v>0</v>
      </c>
    </row>
    <row r="229" spans="1:8">
      <c r="A229" s="12" t="str">
        <f t="shared" si="3"/>
        <v>111-172618300331200</v>
      </c>
      <c r="B229">
        <f>'OneStream Pulls'!C229</f>
        <v>111</v>
      </c>
      <c r="C229">
        <f>'OneStream Pulls'!M229</f>
        <v>172</v>
      </c>
      <c r="D229">
        <f>'OneStream Pulls'!I229</f>
        <v>618300</v>
      </c>
      <c r="E229" s="11">
        <f>IF(ISNUMBER('OneStream Pulls'!P229),'OneStream Pulls'!P229,0)</f>
        <v>331200</v>
      </c>
      <c r="F229" t="str">
        <f>INDEX('User Inputs'!$I$3:$I$14,MATCH('OneStream Pulls'!G229,'User Inputs'!$G$3:$G$14,0))</f>
        <v>May</v>
      </c>
      <c r="G229" t="str">
        <f>LEFT('OneStream Pulls'!G229,4)</f>
        <v>2026</v>
      </c>
      <c r="H229">
        <f>'OneStream Pulls'!U229</f>
        <v>0</v>
      </c>
    </row>
    <row r="230" spans="1:8">
      <c r="A230" s="12" t="str">
        <f t="shared" si="3"/>
        <v>111-172618300331240</v>
      </c>
      <c r="B230">
        <f>'OneStream Pulls'!C230</f>
        <v>111</v>
      </c>
      <c r="C230">
        <f>'OneStream Pulls'!M230</f>
        <v>172</v>
      </c>
      <c r="D230">
        <f>'OneStream Pulls'!I230</f>
        <v>618300</v>
      </c>
      <c r="E230" s="11">
        <f>IF(ISNUMBER('OneStream Pulls'!P230),'OneStream Pulls'!P230,0)</f>
        <v>331240</v>
      </c>
      <c r="F230" t="str">
        <f>INDEX('User Inputs'!$I$3:$I$14,MATCH('OneStream Pulls'!G230,'User Inputs'!$G$3:$G$14,0))</f>
        <v>May</v>
      </c>
      <c r="G230" t="str">
        <f>LEFT('OneStream Pulls'!G230,4)</f>
        <v>2026</v>
      </c>
      <c r="H230">
        <f>'OneStream Pulls'!U230</f>
        <v>0</v>
      </c>
    </row>
    <row r="231" spans="1:8">
      <c r="A231" s="12" t="str">
        <f t="shared" si="3"/>
        <v>111-172618300331230</v>
      </c>
      <c r="B231">
        <f>'OneStream Pulls'!C231</f>
        <v>111</v>
      </c>
      <c r="C231">
        <f>'OneStream Pulls'!M231</f>
        <v>172</v>
      </c>
      <c r="D231">
        <f>'OneStream Pulls'!I231</f>
        <v>618300</v>
      </c>
      <c r="E231" s="11">
        <f>IF(ISNUMBER('OneStream Pulls'!P231),'OneStream Pulls'!P231,0)</f>
        <v>331230</v>
      </c>
      <c r="F231" t="str">
        <f>INDEX('User Inputs'!$I$3:$I$14,MATCH('OneStream Pulls'!G231,'User Inputs'!$G$3:$G$14,0))</f>
        <v>May</v>
      </c>
      <c r="G231" t="str">
        <f>LEFT('OneStream Pulls'!G231,4)</f>
        <v>2026</v>
      </c>
      <c r="H231">
        <f>'OneStream Pulls'!U231</f>
        <v>0</v>
      </c>
    </row>
    <row r="232" spans="1:8">
      <c r="A232" s="12" t="str">
        <f t="shared" si="3"/>
        <v>111-172618300331220</v>
      </c>
      <c r="B232">
        <f>'OneStream Pulls'!C232</f>
        <v>111</v>
      </c>
      <c r="C232">
        <f>'OneStream Pulls'!M232</f>
        <v>172</v>
      </c>
      <c r="D232">
        <f>'OneStream Pulls'!I232</f>
        <v>618300</v>
      </c>
      <c r="E232" s="11">
        <f>IF(ISNUMBER('OneStream Pulls'!P232),'OneStream Pulls'!P232,0)</f>
        <v>331220</v>
      </c>
      <c r="F232" t="str">
        <f>INDEX('User Inputs'!$I$3:$I$14,MATCH('OneStream Pulls'!G232,'User Inputs'!$G$3:$G$14,0))</f>
        <v>May</v>
      </c>
      <c r="G232" t="str">
        <f>LEFT('OneStream Pulls'!G232,4)</f>
        <v>2026</v>
      </c>
      <c r="H232">
        <f>'OneStream Pulls'!U232</f>
        <v>0</v>
      </c>
    </row>
    <row r="233" spans="1:8">
      <c r="A233" s="12" t="str">
        <f t="shared" si="3"/>
        <v>111-172618300331210</v>
      </c>
      <c r="B233">
        <f>'OneStream Pulls'!C233</f>
        <v>111</v>
      </c>
      <c r="C233">
        <f>'OneStream Pulls'!M233</f>
        <v>172</v>
      </c>
      <c r="D233">
        <f>'OneStream Pulls'!I233</f>
        <v>618300</v>
      </c>
      <c r="E233" s="11">
        <f>IF(ISNUMBER('OneStream Pulls'!P233),'OneStream Pulls'!P233,0)</f>
        <v>331210</v>
      </c>
      <c r="F233" t="str">
        <f>INDEX('User Inputs'!$I$3:$I$14,MATCH('OneStream Pulls'!G233,'User Inputs'!$G$3:$G$14,0))</f>
        <v>May</v>
      </c>
      <c r="G233" t="str">
        <f>LEFT('OneStream Pulls'!G233,4)</f>
        <v>2026</v>
      </c>
      <c r="H233">
        <f>'OneStream Pulls'!U233</f>
        <v>0</v>
      </c>
    </row>
    <row r="234" spans="1:8">
      <c r="A234" s="12" t="str">
        <f t="shared" si="3"/>
        <v>111-172618300331250</v>
      </c>
      <c r="B234">
        <f>'OneStream Pulls'!C234</f>
        <v>111</v>
      </c>
      <c r="C234">
        <f>'OneStream Pulls'!M234</f>
        <v>172</v>
      </c>
      <c r="D234">
        <f>'OneStream Pulls'!I234</f>
        <v>618300</v>
      </c>
      <c r="E234" s="11">
        <f>IF(ISNUMBER('OneStream Pulls'!P234),'OneStream Pulls'!P234,0)</f>
        <v>331250</v>
      </c>
      <c r="F234" t="str">
        <f>INDEX('User Inputs'!$I$3:$I$14,MATCH('OneStream Pulls'!G234,'User Inputs'!$G$3:$G$14,0))</f>
        <v>May</v>
      </c>
      <c r="G234" t="str">
        <f>LEFT('OneStream Pulls'!G234,4)</f>
        <v>2026</v>
      </c>
      <c r="H234">
        <f>'OneStream Pulls'!U234</f>
        <v>0</v>
      </c>
    </row>
    <row r="235" spans="1:8">
      <c r="A235" s="12" t="str">
        <f t="shared" si="3"/>
        <v>111-172618350331300</v>
      </c>
      <c r="B235">
        <f>'OneStream Pulls'!C235</f>
        <v>111</v>
      </c>
      <c r="C235">
        <f>'OneStream Pulls'!M235</f>
        <v>172</v>
      </c>
      <c r="D235">
        <f>'OneStream Pulls'!I235</f>
        <v>618350</v>
      </c>
      <c r="E235" s="11">
        <f>IF(ISNUMBER('OneStream Pulls'!P235),'OneStream Pulls'!P235,0)</f>
        <v>331300</v>
      </c>
      <c r="F235" t="str">
        <f>INDEX('User Inputs'!$I$3:$I$14,MATCH('OneStream Pulls'!G235,'User Inputs'!$G$3:$G$14,0))</f>
        <v>May</v>
      </c>
      <c r="G235" t="str">
        <f>LEFT('OneStream Pulls'!G235,4)</f>
        <v>2026</v>
      </c>
      <c r="H235">
        <f>'OneStream Pulls'!U235</f>
        <v>0</v>
      </c>
    </row>
    <row r="236" spans="1:8">
      <c r="A236" s="12" t="str">
        <f t="shared" si="3"/>
        <v>111-1726260880</v>
      </c>
      <c r="B236">
        <f>'OneStream Pulls'!C236</f>
        <v>111</v>
      </c>
      <c r="C236">
        <f>'OneStream Pulls'!M236</f>
        <v>172</v>
      </c>
      <c r="D236">
        <f>'OneStream Pulls'!I236</f>
        <v>626088</v>
      </c>
      <c r="E236" s="11">
        <f>IF(ISNUMBER('OneStream Pulls'!P236),'OneStream Pulls'!P236,0)</f>
        <v>0</v>
      </c>
      <c r="F236" t="str">
        <f>INDEX('User Inputs'!$I$3:$I$14,MATCH('OneStream Pulls'!G236,'User Inputs'!$G$3:$G$14,0))</f>
        <v>May</v>
      </c>
      <c r="G236" t="str">
        <f>LEFT('OneStream Pulls'!G236,4)</f>
        <v>2026</v>
      </c>
      <c r="H236">
        <f>'OneStream Pulls'!U236</f>
        <v>0</v>
      </c>
    </row>
    <row r="237" spans="1:8">
      <c r="A237" s="12" t="str">
        <f t="shared" si="3"/>
        <v>111-172629999331100</v>
      </c>
      <c r="B237">
        <f>'OneStream Pulls'!C237</f>
        <v>111</v>
      </c>
      <c r="C237">
        <f>'OneStream Pulls'!M237</f>
        <v>172</v>
      </c>
      <c r="D237">
        <f>'OneStream Pulls'!I237</f>
        <v>629999</v>
      </c>
      <c r="E237" s="11">
        <f>IF(ISNUMBER('OneStream Pulls'!P237),'OneStream Pulls'!P237,0)</f>
        <v>331100</v>
      </c>
      <c r="F237" t="str">
        <f>INDEX('User Inputs'!$I$3:$I$14,MATCH('OneStream Pulls'!G237,'User Inputs'!$G$3:$G$14,0))</f>
        <v>May</v>
      </c>
      <c r="G237" t="str">
        <f>LEFT('OneStream Pulls'!G237,4)</f>
        <v>2026</v>
      </c>
      <c r="H237">
        <f>'OneStream Pulls'!U237</f>
        <v>0</v>
      </c>
    </row>
    <row r="238" spans="1:8">
      <c r="A238" s="12" t="str">
        <f t="shared" si="3"/>
        <v>111-170SACADV0</v>
      </c>
      <c r="B238">
        <v>111</v>
      </c>
      <c r="C238">
        <v>170</v>
      </c>
      <c r="D238" t="s">
        <v>178</v>
      </c>
      <c r="E238">
        <v>0</v>
      </c>
      <c r="F238" t="str">
        <f>INDEX('User Inputs'!$I$3:$I$14,MATCH('OneStream Pulls'!G238,'User Inputs'!$G$3:$G$14,0))</f>
        <v>May</v>
      </c>
      <c r="G238" t="str">
        <f>LEFT('OneStream Pulls'!G238,4)</f>
        <v>2026</v>
      </c>
      <c r="H238">
        <f>SUM('OneStream Pulls'!U238:U262)</f>
        <v>378772.66</v>
      </c>
    </row>
    <row r="239" spans="1:8">
      <c r="A239" s="12" t="str">
        <f t="shared" si="3"/>
        <v>111-170SACADV2</v>
      </c>
      <c r="B239">
        <v>111</v>
      </c>
      <c r="C239">
        <v>170</v>
      </c>
      <c r="D239" t="s">
        <v>178</v>
      </c>
      <c r="E239">
        <v>2</v>
      </c>
      <c r="F239" t="str">
        <f>INDEX('User Inputs'!$I$3:$I$14,MATCH('OneStream Pulls'!G239,'User Inputs'!$G$3:$G$14,0))</f>
        <v>May</v>
      </c>
      <c r="G239" t="str">
        <f>LEFT('OneStream Pulls'!G239,4)</f>
        <v>2026</v>
      </c>
      <c r="H239">
        <f>SUM('OneStream Pulls'!U263:U270)</f>
        <v>0</v>
      </c>
    </row>
    <row r="240" spans="1:8">
      <c r="A240" s="12" t="str">
        <f t="shared" si="3"/>
        <v>111-170SACADV1</v>
      </c>
      <c r="B240">
        <v>111</v>
      </c>
      <c r="C240">
        <v>170</v>
      </c>
      <c r="D240" t="s">
        <v>178</v>
      </c>
      <c r="E240">
        <v>1</v>
      </c>
      <c r="F240" t="str">
        <f>INDEX('User Inputs'!$I$3:$I$14,MATCH('OneStream Pulls'!G240,'User Inputs'!$G$3:$G$14,0))</f>
        <v>May</v>
      </c>
      <c r="G240" t="str">
        <f>LEFT('OneStream Pulls'!G240,4)</f>
        <v>2026</v>
      </c>
      <c r="H240">
        <f>SUM('OneStream Pulls'!U271:U299)</f>
        <v>5142.2800000000279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User Inputs</vt:lpstr>
      <vt:lpstr>OneStream Pulls</vt:lpstr>
      <vt:lpstr>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Schlesinger, Brian</dc:creator>
  <cp:lastModifiedBy>Schlesinger, Brian</cp:lastModifiedBy>
  <dcterms:created xsi:type="dcterms:W3CDTF">2026-07-07T17:21:34Z</dcterms:created>
  <dcterms:modified xsi:type="dcterms:W3CDTF">2026-07-09T17:26:58Z</dcterms:modified>
</cp:coreProperties>
</file>